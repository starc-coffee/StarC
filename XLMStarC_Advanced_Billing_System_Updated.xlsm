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moussa\Desktop\HussamDesktop\PV\Coffee\Web Site\"/>
    </mc:Choice>
  </mc:AlternateContent>
  <xr:revisionPtr revIDLastSave="0" documentId="13_ncr:1_{96D5C40F-B468-482D-AE0C-67A2A6613561}" xr6:coauthVersionLast="47" xr6:coauthVersionMax="47" xr10:uidLastSave="{00000000-0000-0000-0000-000000000000}"/>
  <bookViews>
    <workbookView xWindow="28680" yWindow="-120" windowWidth="29040" windowHeight="17520" activeTab="5" xr2:uid="{00000000-000D-0000-FFFF-FFFF00000000}"/>
  </bookViews>
  <sheets>
    <sheet name="Invo 1" sheetId="6" r:id="rId1"/>
    <sheet name="Invo 2" sheetId="5" r:id="rId2"/>
    <sheet name="Invo 3" sheetId="7" r:id="rId3"/>
    <sheet name="Invo 4" sheetId="8" r:id="rId4"/>
    <sheet name="Invo 5" sheetId="9" r:id="rId5"/>
    <sheet name="Invo 6" sheetId="10" r:id="rId6"/>
    <sheet name="Menu" sheetId="2" r:id="rId7"/>
    <sheet name="Sheet1" sheetId="11" r:id="rId8"/>
    <sheet name="records" sheetId="3" r:id="rId9"/>
    <sheet name="VBA_Instructions" sheetId="4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" i="8" l="1"/>
  <c r="E4" i="6"/>
  <c r="E4" i="5"/>
  <c r="E4" i="7"/>
  <c r="F92" i="11"/>
  <c r="D92" i="11"/>
  <c r="C92" i="11"/>
  <c r="B92" i="11"/>
  <c r="D91" i="11"/>
  <c r="F91" i="11" s="1"/>
  <c r="C91" i="11"/>
  <c r="B91" i="11"/>
  <c r="D90" i="11"/>
  <c r="F90" i="11" s="1"/>
  <c r="C90" i="11"/>
  <c r="B90" i="11"/>
  <c r="F89" i="11"/>
  <c r="D89" i="11"/>
  <c r="C89" i="11"/>
  <c r="B89" i="11"/>
  <c r="D88" i="11"/>
  <c r="F88" i="11" s="1"/>
  <c r="C88" i="11"/>
  <c r="B88" i="11"/>
  <c r="D87" i="11"/>
  <c r="F87" i="11" s="1"/>
  <c r="C87" i="11"/>
  <c r="B87" i="11"/>
  <c r="D86" i="11"/>
  <c r="F86" i="11" s="1"/>
  <c r="C86" i="11"/>
  <c r="B86" i="11"/>
  <c r="F85" i="11"/>
  <c r="D85" i="11"/>
  <c r="C85" i="11"/>
  <c r="B85" i="11"/>
  <c r="D84" i="11"/>
  <c r="F84" i="11" s="1"/>
  <c r="C84" i="11"/>
  <c r="B84" i="11"/>
  <c r="D83" i="11"/>
  <c r="F83" i="11" s="1"/>
  <c r="C83" i="11"/>
  <c r="B83" i="11"/>
  <c r="F82" i="11"/>
  <c r="D82" i="11"/>
  <c r="C82" i="11"/>
  <c r="B82" i="11"/>
  <c r="F81" i="11"/>
  <c r="D81" i="11"/>
  <c r="C81" i="11"/>
  <c r="B81" i="11"/>
  <c r="D80" i="11"/>
  <c r="F80" i="11" s="1"/>
  <c r="C80" i="11"/>
  <c r="B80" i="11"/>
  <c r="D79" i="11"/>
  <c r="F79" i="11" s="1"/>
  <c r="C79" i="11"/>
  <c r="B79" i="11"/>
  <c r="F78" i="11"/>
  <c r="D78" i="11"/>
  <c r="C78" i="11"/>
  <c r="B78" i="11"/>
  <c r="D77" i="11"/>
  <c r="F77" i="11" s="1"/>
  <c r="C77" i="11"/>
  <c r="B77" i="11"/>
  <c r="D76" i="11"/>
  <c r="F76" i="11" s="1"/>
  <c r="C76" i="11"/>
  <c r="B76" i="11"/>
  <c r="F75" i="11"/>
  <c r="D75" i="11"/>
  <c r="C75" i="11"/>
  <c r="B75" i="11"/>
  <c r="F74" i="11"/>
  <c r="D74" i="11"/>
  <c r="C74" i="11"/>
  <c r="B74" i="11"/>
  <c r="D73" i="11"/>
  <c r="F73" i="11" s="1"/>
  <c r="C73" i="11"/>
  <c r="B73" i="11"/>
  <c r="D72" i="11"/>
  <c r="F72" i="11" s="1"/>
  <c r="C72" i="11"/>
  <c r="B72" i="11"/>
  <c r="F71" i="11"/>
  <c r="D71" i="11"/>
  <c r="C71" i="11"/>
  <c r="B71" i="11"/>
  <c r="D70" i="11"/>
  <c r="F70" i="11" s="1"/>
  <c r="C70" i="11"/>
  <c r="B70" i="11"/>
  <c r="D69" i="11"/>
  <c r="F69" i="11" s="1"/>
  <c r="C69" i="11"/>
  <c r="B69" i="11"/>
  <c r="F68" i="11"/>
  <c r="D68" i="11"/>
  <c r="C68" i="11"/>
  <c r="B68" i="11"/>
  <c r="F67" i="11"/>
  <c r="D67" i="11"/>
  <c r="C67" i="11"/>
  <c r="B67" i="11"/>
  <c r="D66" i="11"/>
  <c r="F66" i="11" s="1"/>
  <c r="C66" i="11"/>
  <c r="B66" i="11"/>
  <c r="D65" i="11"/>
  <c r="F65" i="11" s="1"/>
  <c r="C65" i="11"/>
  <c r="B65" i="11"/>
  <c r="F64" i="11"/>
  <c r="D64" i="11"/>
  <c r="C64" i="11"/>
  <c r="B64" i="11"/>
  <c r="D63" i="11"/>
  <c r="F63" i="11" s="1"/>
  <c r="C63" i="11"/>
  <c r="B63" i="11"/>
  <c r="D62" i="11"/>
  <c r="F62" i="11" s="1"/>
  <c r="C62" i="11"/>
  <c r="B62" i="11"/>
  <c r="F61" i="11"/>
  <c r="D61" i="11"/>
  <c r="C61" i="11"/>
  <c r="B61" i="11"/>
  <c r="D60" i="11"/>
  <c r="F60" i="11" s="1"/>
  <c r="C60" i="11"/>
  <c r="B60" i="11"/>
  <c r="D59" i="11"/>
  <c r="F59" i="11" s="1"/>
  <c r="C59" i="11"/>
  <c r="B59" i="11"/>
  <c r="D58" i="11"/>
  <c r="F58" i="11" s="1"/>
  <c r="C58" i="11"/>
  <c r="B58" i="11"/>
  <c r="F57" i="11"/>
  <c r="D57" i="11"/>
  <c r="C57" i="11"/>
  <c r="B57" i="11"/>
  <c r="D56" i="11"/>
  <c r="F56" i="11" s="1"/>
  <c r="C56" i="11"/>
  <c r="B56" i="11"/>
  <c r="D55" i="11"/>
  <c r="F55" i="11" s="1"/>
  <c r="C55" i="11"/>
  <c r="B55" i="11"/>
  <c r="F54" i="11"/>
  <c r="D54" i="11"/>
  <c r="C54" i="11"/>
  <c r="B54" i="11"/>
  <c r="D53" i="11"/>
  <c r="F53" i="11" s="1"/>
  <c r="C53" i="11"/>
  <c r="B53" i="11"/>
  <c r="D52" i="11"/>
  <c r="F52" i="11" s="1"/>
  <c r="C52" i="11"/>
  <c r="B52" i="11"/>
  <c r="D51" i="11"/>
  <c r="F51" i="11" s="1"/>
  <c r="C51" i="11"/>
  <c r="B51" i="11"/>
  <c r="F50" i="11"/>
  <c r="D50" i="11"/>
  <c r="C50" i="11"/>
  <c r="B50" i="11"/>
  <c r="D49" i="11"/>
  <c r="F49" i="11" s="1"/>
  <c r="C49" i="11"/>
  <c r="B49" i="11"/>
  <c r="D48" i="11"/>
  <c r="F48" i="11" s="1"/>
  <c r="C48" i="11"/>
  <c r="B48" i="11"/>
  <c r="F47" i="11"/>
  <c r="D47" i="11"/>
  <c r="C47" i="11"/>
  <c r="B47" i="11"/>
  <c r="D46" i="11"/>
  <c r="F46" i="11" s="1"/>
  <c r="C46" i="11"/>
  <c r="B46" i="11"/>
  <c r="D45" i="11"/>
  <c r="F45" i="11" s="1"/>
  <c r="C45" i="11"/>
  <c r="B45" i="11"/>
  <c r="D44" i="11"/>
  <c r="F44" i="11" s="1"/>
  <c r="C44" i="11"/>
  <c r="B44" i="11"/>
  <c r="F43" i="11"/>
  <c r="D43" i="11"/>
  <c r="C43" i="11"/>
  <c r="B43" i="11"/>
  <c r="D42" i="11"/>
  <c r="F42" i="11" s="1"/>
  <c r="C42" i="11"/>
  <c r="B42" i="11"/>
  <c r="D41" i="11"/>
  <c r="F41" i="11" s="1"/>
  <c r="C41" i="11"/>
  <c r="B41" i="11"/>
  <c r="F40" i="11"/>
  <c r="D40" i="11"/>
  <c r="C40" i="11"/>
  <c r="B40" i="11"/>
  <c r="D39" i="11"/>
  <c r="F39" i="11" s="1"/>
  <c r="C39" i="11"/>
  <c r="B39" i="11"/>
  <c r="D38" i="11"/>
  <c r="F38" i="11" s="1"/>
  <c r="C38" i="11"/>
  <c r="B38" i="11"/>
  <c r="D37" i="11"/>
  <c r="F37" i="11" s="1"/>
  <c r="C37" i="11"/>
  <c r="B37" i="11"/>
  <c r="F36" i="11"/>
  <c r="D36" i="11"/>
  <c r="C36" i="11"/>
  <c r="B36" i="11"/>
  <c r="D35" i="11"/>
  <c r="F35" i="11" s="1"/>
  <c r="C35" i="11"/>
  <c r="B35" i="11"/>
  <c r="D34" i="11"/>
  <c r="F34" i="11" s="1"/>
  <c r="C34" i="11"/>
  <c r="B34" i="11"/>
  <c r="F33" i="11"/>
  <c r="D33" i="11"/>
  <c r="C33" i="11"/>
  <c r="B33" i="11"/>
  <c r="D32" i="11"/>
  <c r="F32" i="11" s="1"/>
  <c r="C32" i="11"/>
  <c r="B32" i="11"/>
  <c r="D31" i="11"/>
  <c r="F31" i="11" s="1"/>
  <c r="C31" i="11"/>
  <c r="B31" i="11"/>
  <c r="D30" i="11"/>
  <c r="F30" i="11" s="1"/>
  <c r="C30" i="11"/>
  <c r="B30" i="11"/>
  <c r="F29" i="11"/>
  <c r="D29" i="11"/>
  <c r="C29" i="11"/>
  <c r="B29" i="11"/>
  <c r="D28" i="11"/>
  <c r="F28" i="11" s="1"/>
  <c r="C28" i="11"/>
  <c r="B28" i="11"/>
  <c r="D27" i="11"/>
  <c r="F27" i="11" s="1"/>
  <c r="C27" i="11"/>
  <c r="B27" i="11"/>
  <c r="F26" i="11"/>
  <c r="D26" i="11"/>
  <c r="C26" i="11"/>
  <c r="B26" i="11"/>
  <c r="D25" i="11"/>
  <c r="F25" i="11" s="1"/>
  <c r="C25" i="11"/>
  <c r="B25" i="11"/>
  <c r="D24" i="11"/>
  <c r="F24" i="11" s="1"/>
  <c r="C24" i="11"/>
  <c r="B24" i="11"/>
  <c r="D23" i="11"/>
  <c r="F23" i="11" s="1"/>
  <c r="C23" i="11"/>
  <c r="B23" i="11"/>
  <c r="F22" i="11"/>
  <c r="D22" i="11"/>
  <c r="C22" i="11"/>
  <c r="B22" i="11"/>
  <c r="D21" i="11"/>
  <c r="F21" i="11" s="1"/>
  <c r="C21" i="11"/>
  <c r="B21" i="11"/>
  <c r="D20" i="11"/>
  <c r="F20" i="11" s="1"/>
  <c r="C20" i="11"/>
  <c r="B20" i="11"/>
  <c r="F19" i="11"/>
  <c r="D19" i="11"/>
  <c r="C19" i="11"/>
  <c r="B19" i="11"/>
  <c r="D18" i="11"/>
  <c r="F18" i="11" s="1"/>
  <c r="C18" i="11"/>
  <c r="B18" i="11"/>
  <c r="D17" i="11"/>
  <c r="F17" i="11" s="1"/>
  <c r="C17" i="11"/>
  <c r="B17" i="11"/>
  <c r="D16" i="11"/>
  <c r="F16" i="11" s="1"/>
  <c r="C16" i="11"/>
  <c r="B16" i="11"/>
  <c r="F15" i="11"/>
  <c r="D15" i="11"/>
  <c r="C15" i="11"/>
  <c r="B15" i="11"/>
  <c r="D14" i="11"/>
  <c r="F14" i="11" s="1"/>
  <c r="C14" i="11"/>
  <c r="B14" i="11"/>
  <c r="D13" i="11"/>
  <c r="F13" i="11" s="1"/>
  <c r="C13" i="11"/>
  <c r="B13" i="11"/>
  <c r="F12" i="11"/>
  <c r="D12" i="11"/>
  <c r="C12" i="11"/>
  <c r="B12" i="11"/>
  <c r="D11" i="11"/>
  <c r="F11" i="11" s="1"/>
  <c r="C11" i="11"/>
  <c r="B11" i="11"/>
  <c r="D10" i="11"/>
  <c r="F10" i="11" s="1"/>
  <c r="C10" i="11"/>
  <c r="B10" i="11"/>
  <c r="D9" i="11"/>
  <c r="F9" i="11" s="1"/>
  <c r="C9" i="11"/>
  <c r="B9" i="11"/>
  <c r="F8" i="11"/>
  <c r="D8" i="11"/>
  <c r="C8" i="11"/>
  <c r="B8" i="11"/>
  <c r="D7" i="11"/>
  <c r="F7" i="11" s="1"/>
  <c r="C7" i="11"/>
  <c r="B7" i="11"/>
  <c r="D6" i="11"/>
  <c r="F6" i="11" s="1"/>
  <c r="C6" i="11"/>
  <c r="B6" i="11"/>
  <c r="F5" i="11"/>
  <c r="D5" i="11"/>
  <c r="C5" i="11"/>
  <c r="B5" i="11"/>
  <c r="D4" i="11"/>
  <c r="F4" i="11" s="1"/>
  <c r="C4" i="11"/>
  <c r="B4" i="11"/>
  <c r="D3" i="11"/>
  <c r="F3" i="11" s="1"/>
  <c r="C3" i="11"/>
  <c r="B3" i="11"/>
  <c r="D2" i="11"/>
  <c r="F2" i="11" s="1"/>
  <c r="C2" i="11"/>
  <c r="B2" i="11"/>
  <c r="F1" i="11"/>
  <c r="D1" i="11"/>
  <c r="C1" i="11"/>
  <c r="B1" i="11"/>
  <c r="D99" i="10"/>
  <c r="F99" i="10" s="1"/>
  <c r="C99" i="10"/>
  <c r="B99" i="10"/>
  <c r="D98" i="10"/>
  <c r="F98" i="10" s="1"/>
  <c r="C98" i="10"/>
  <c r="B98" i="10"/>
  <c r="F97" i="10"/>
  <c r="D97" i="10"/>
  <c r="C97" i="10"/>
  <c r="B97" i="10"/>
  <c r="D96" i="10"/>
  <c r="F96" i="10" s="1"/>
  <c r="C96" i="10"/>
  <c r="B96" i="10"/>
  <c r="D95" i="10"/>
  <c r="F95" i="10" s="1"/>
  <c r="C95" i="10"/>
  <c r="B95" i="10"/>
  <c r="D94" i="10"/>
  <c r="F94" i="10" s="1"/>
  <c r="C94" i="10"/>
  <c r="B94" i="10"/>
  <c r="D93" i="10"/>
  <c r="F93" i="10" s="1"/>
  <c r="C93" i="10"/>
  <c r="B93" i="10"/>
  <c r="D92" i="10"/>
  <c r="F92" i="10" s="1"/>
  <c r="C92" i="10"/>
  <c r="B92" i="10"/>
  <c r="F91" i="10"/>
  <c r="D91" i="10"/>
  <c r="C91" i="10"/>
  <c r="B91" i="10"/>
  <c r="F90" i="10"/>
  <c r="D90" i="10"/>
  <c r="C90" i="10"/>
  <c r="B90" i="10"/>
  <c r="D89" i="10"/>
  <c r="F89" i="10" s="1"/>
  <c r="C89" i="10"/>
  <c r="B89" i="10"/>
  <c r="D88" i="10"/>
  <c r="F88" i="10" s="1"/>
  <c r="C88" i="10"/>
  <c r="B88" i="10"/>
  <c r="D87" i="10"/>
  <c r="F87" i="10" s="1"/>
  <c r="C87" i="10"/>
  <c r="B87" i="10"/>
  <c r="D86" i="10"/>
  <c r="F86" i="10" s="1"/>
  <c r="C86" i="10"/>
  <c r="B86" i="10"/>
  <c r="D85" i="10"/>
  <c r="F85" i="10" s="1"/>
  <c r="C85" i="10"/>
  <c r="B85" i="10"/>
  <c r="F84" i="10"/>
  <c r="D84" i="10"/>
  <c r="C84" i="10"/>
  <c r="B84" i="10"/>
  <c r="F83" i="10"/>
  <c r="D83" i="10"/>
  <c r="C83" i="10"/>
  <c r="B83" i="10"/>
  <c r="D82" i="10"/>
  <c r="F82" i="10" s="1"/>
  <c r="C82" i="10"/>
  <c r="B82" i="10"/>
  <c r="D81" i="10"/>
  <c r="F81" i="10" s="1"/>
  <c r="C81" i="10"/>
  <c r="B81" i="10"/>
  <c r="D80" i="10"/>
  <c r="F80" i="10" s="1"/>
  <c r="C80" i="10"/>
  <c r="B80" i="10"/>
  <c r="D79" i="10"/>
  <c r="F79" i="10" s="1"/>
  <c r="C79" i="10"/>
  <c r="B79" i="10"/>
  <c r="D78" i="10"/>
  <c r="F78" i="10" s="1"/>
  <c r="C78" i="10"/>
  <c r="B78" i="10"/>
  <c r="F77" i="10"/>
  <c r="D77" i="10"/>
  <c r="C77" i="10"/>
  <c r="B77" i="10"/>
  <c r="F76" i="10"/>
  <c r="D76" i="10"/>
  <c r="C76" i="10"/>
  <c r="B76" i="10"/>
  <c r="D75" i="10"/>
  <c r="F75" i="10" s="1"/>
  <c r="C75" i="10"/>
  <c r="B75" i="10"/>
  <c r="D74" i="10"/>
  <c r="F74" i="10" s="1"/>
  <c r="C74" i="10"/>
  <c r="B74" i="10"/>
  <c r="D73" i="10"/>
  <c r="F73" i="10" s="1"/>
  <c r="C73" i="10"/>
  <c r="B73" i="10"/>
  <c r="D72" i="10"/>
  <c r="F72" i="10" s="1"/>
  <c r="C72" i="10"/>
  <c r="B72" i="10"/>
  <c r="D71" i="10"/>
  <c r="F71" i="10" s="1"/>
  <c r="C71" i="10"/>
  <c r="B71" i="10"/>
  <c r="F70" i="10"/>
  <c r="D70" i="10"/>
  <c r="C70" i="10"/>
  <c r="B70" i="10"/>
  <c r="F69" i="10"/>
  <c r="D69" i="10"/>
  <c r="C69" i="10"/>
  <c r="B69" i="10"/>
  <c r="D68" i="10"/>
  <c r="F68" i="10" s="1"/>
  <c r="C68" i="10"/>
  <c r="B68" i="10"/>
  <c r="D67" i="10"/>
  <c r="F67" i="10" s="1"/>
  <c r="C67" i="10"/>
  <c r="B67" i="10"/>
  <c r="D66" i="10"/>
  <c r="F66" i="10" s="1"/>
  <c r="C66" i="10"/>
  <c r="B66" i="10"/>
  <c r="D65" i="10"/>
  <c r="F65" i="10" s="1"/>
  <c r="C65" i="10"/>
  <c r="B65" i="10"/>
  <c r="D64" i="10"/>
  <c r="F64" i="10" s="1"/>
  <c r="C64" i="10"/>
  <c r="B64" i="10"/>
  <c r="D63" i="10"/>
  <c r="F63" i="10" s="1"/>
  <c r="C63" i="10"/>
  <c r="B63" i="10"/>
  <c r="F62" i="10"/>
  <c r="D62" i="10"/>
  <c r="C62" i="10"/>
  <c r="B62" i="10"/>
  <c r="D61" i="10"/>
  <c r="F61" i="10" s="1"/>
  <c r="C61" i="10"/>
  <c r="B61" i="10"/>
  <c r="D60" i="10"/>
  <c r="F60" i="10" s="1"/>
  <c r="C60" i="10"/>
  <c r="B60" i="10"/>
  <c r="D59" i="10"/>
  <c r="F59" i="10" s="1"/>
  <c r="C59" i="10"/>
  <c r="B59" i="10"/>
  <c r="D58" i="10"/>
  <c r="F58" i="10" s="1"/>
  <c r="C58" i="10"/>
  <c r="B58" i="10"/>
  <c r="D57" i="10"/>
  <c r="F57" i="10" s="1"/>
  <c r="C57" i="10"/>
  <c r="B57" i="10"/>
  <c r="D56" i="10"/>
  <c r="F56" i="10" s="1"/>
  <c r="C56" i="10"/>
  <c r="B56" i="10"/>
  <c r="F55" i="10"/>
  <c r="D55" i="10"/>
  <c r="C55" i="10"/>
  <c r="B55" i="10"/>
  <c r="D54" i="10"/>
  <c r="F54" i="10" s="1"/>
  <c r="C54" i="10"/>
  <c r="B54" i="10"/>
  <c r="D53" i="10"/>
  <c r="F53" i="10" s="1"/>
  <c r="C53" i="10"/>
  <c r="B53" i="10"/>
  <c r="D52" i="10"/>
  <c r="F52" i="10" s="1"/>
  <c r="C52" i="10"/>
  <c r="B52" i="10"/>
  <c r="D51" i="10"/>
  <c r="F51" i="10" s="1"/>
  <c r="C51" i="10"/>
  <c r="B51" i="10"/>
  <c r="D50" i="10"/>
  <c r="F50" i="10" s="1"/>
  <c r="C50" i="10"/>
  <c r="B50" i="10"/>
  <c r="F49" i="10"/>
  <c r="D49" i="10"/>
  <c r="C49" i="10"/>
  <c r="B49" i="10"/>
  <c r="F48" i="10"/>
  <c r="D48" i="10"/>
  <c r="C48" i="10"/>
  <c r="B48" i="10"/>
  <c r="D47" i="10"/>
  <c r="F47" i="10" s="1"/>
  <c r="C47" i="10"/>
  <c r="B47" i="10"/>
  <c r="D46" i="10"/>
  <c r="F46" i="10" s="1"/>
  <c r="C46" i="10"/>
  <c r="B46" i="10"/>
  <c r="D45" i="10"/>
  <c r="F45" i="10" s="1"/>
  <c r="C45" i="10"/>
  <c r="B45" i="10"/>
  <c r="D44" i="10"/>
  <c r="F44" i="10" s="1"/>
  <c r="C44" i="10"/>
  <c r="B44" i="10"/>
  <c r="D43" i="10"/>
  <c r="F43" i="10" s="1"/>
  <c r="C43" i="10"/>
  <c r="B43" i="10"/>
  <c r="D42" i="10"/>
  <c r="F42" i="10" s="1"/>
  <c r="C42" i="10"/>
  <c r="B42" i="10"/>
  <c r="F41" i="10"/>
  <c r="D41" i="10"/>
  <c r="C41" i="10"/>
  <c r="B41" i="10"/>
  <c r="D40" i="10"/>
  <c r="F40" i="10" s="1"/>
  <c r="C40" i="10"/>
  <c r="B40" i="10"/>
  <c r="D39" i="10"/>
  <c r="F39" i="10" s="1"/>
  <c r="C39" i="10"/>
  <c r="B39" i="10"/>
  <c r="D38" i="10"/>
  <c r="F38" i="10" s="1"/>
  <c r="C38" i="10"/>
  <c r="B38" i="10"/>
  <c r="D37" i="10"/>
  <c r="F37" i="10" s="1"/>
  <c r="C37" i="10"/>
  <c r="B37" i="10"/>
  <c r="D36" i="10"/>
  <c r="F36" i="10" s="1"/>
  <c r="C36" i="10"/>
  <c r="B36" i="10"/>
  <c r="D35" i="10"/>
  <c r="F35" i="10" s="1"/>
  <c r="C35" i="10"/>
  <c r="B35" i="10"/>
  <c r="F34" i="10"/>
  <c r="D34" i="10"/>
  <c r="C34" i="10"/>
  <c r="B34" i="10"/>
  <c r="D33" i="10"/>
  <c r="F33" i="10" s="1"/>
  <c r="C33" i="10"/>
  <c r="B33" i="10"/>
  <c r="D32" i="10"/>
  <c r="F32" i="10" s="1"/>
  <c r="C32" i="10"/>
  <c r="B32" i="10"/>
  <c r="D31" i="10"/>
  <c r="F31" i="10" s="1"/>
  <c r="C31" i="10"/>
  <c r="B31" i="10"/>
  <c r="D30" i="10"/>
  <c r="F30" i="10" s="1"/>
  <c r="C30" i="10"/>
  <c r="B30" i="10"/>
  <c r="D29" i="10"/>
  <c r="F29" i="10" s="1"/>
  <c r="C29" i="10"/>
  <c r="B29" i="10"/>
  <c r="D28" i="10"/>
  <c r="F28" i="10" s="1"/>
  <c r="C28" i="10"/>
  <c r="B28" i="10"/>
  <c r="F27" i="10"/>
  <c r="D27" i="10"/>
  <c r="C27" i="10"/>
  <c r="B27" i="10"/>
  <c r="D26" i="10"/>
  <c r="F26" i="10" s="1"/>
  <c r="C26" i="10"/>
  <c r="B26" i="10"/>
  <c r="D25" i="10"/>
  <c r="F25" i="10" s="1"/>
  <c r="C25" i="10"/>
  <c r="B25" i="10"/>
  <c r="D24" i="10"/>
  <c r="F24" i="10" s="1"/>
  <c r="C24" i="10"/>
  <c r="B24" i="10"/>
  <c r="D23" i="10"/>
  <c r="F23" i="10" s="1"/>
  <c r="C23" i="10"/>
  <c r="B23" i="10"/>
  <c r="D22" i="10"/>
  <c r="F22" i="10" s="1"/>
  <c r="C22" i="10"/>
  <c r="B22" i="10"/>
  <c r="D21" i="10"/>
  <c r="F21" i="10" s="1"/>
  <c r="C21" i="10"/>
  <c r="B21" i="10"/>
  <c r="F20" i="10"/>
  <c r="D20" i="10"/>
  <c r="C20" i="10"/>
  <c r="B20" i="10"/>
  <c r="D19" i="10"/>
  <c r="F19" i="10" s="1"/>
  <c r="C19" i="10"/>
  <c r="B19" i="10"/>
  <c r="D18" i="10"/>
  <c r="F18" i="10" s="1"/>
  <c r="C18" i="10"/>
  <c r="B18" i="10"/>
  <c r="D17" i="10"/>
  <c r="F17" i="10" s="1"/>
  <c r="C17" i="10"/>
  <c r="B17" i="10"/>
  <c r="D16" i="10"/>
  <c r="F16" i="10" s="1"/>
  <c r="C16" i="10"/>
  <c r="B16" i="10"/>
  <c r="D15" i="10"/>
  <c r="F15" i="10" s="1"/>
  <c r="C15" i="10"/>
  <c r="B15" i="10"/>
  <c r="D14" i="10"/>
  <c r="F14" i="10" s="1"/>
  <c r="C14" i="10"/>
  <c r="B14" i="10"/>
  <c r="F13" i="10"/>
  <c r="D13" i="10"/>
  <c r="C13" i="10"/>
  <c r="B13" i="10"/>
  <c r="D12" i="10"/>
  <c r="F12" i="10" s="1"/>
  <c r="C12" i="10"/>
  <c r="B12" i="10"/>
  <c r="D11" i="10"/>
  <c r="F11" i="10" s="1"/>
  <c r="C11" i="10"/>
  <c r="B11" i="10"/>
  <c r="D10" i="10"/>
  <c r="F10" i="10" s="1"/>
  <c r="C10" i="10"/>
  <c r="B10" i="10"/>
  <c r="D9" i="10"/>
  <c r="F9" i="10" s="1"/>
  <c r="C9" i="10"/>
  <c r="B9" i="10"/>
  <c r="D8" i="10"/>
  <c r="F8" i="10" s="1"/>
  <c r="C8" i="10"/>
  <c r="B8" i="10"/>
  <c r="D99" i="9"/>
  <c r="F99" i="9" s="1"/>
  <c r="C99" i="9"/>
  <c r="B99" i="9"/>
  <c r="D98" i="9"/>
  <c r="F98" i="9" s="1"/>
  <c r="C98" i="9"/>
  <c r="B98" i="9"/>
  <c r="D97" i="9"/>
  <c r="F97" i="9" s="1"/>
  <c r="C97" i="9"/>
  <c r="B97" i="9"/>
  <c r="D96" i="9"/>
  <c r="F96" i="9" s="1"/>
  <c r="C96" i="9"/>
  <c r="B96" i="9"/>
  <c r="D95" i="9"/>
  <c r="F95" i="9" s="1"/>
  <c r="C95" i="9"/>
  <c r="B95" i="9"/>
  <c r="D94" i="9"/>
  <c r="F94" i="9" s="1"/>
  <c r="C94" i="9"/>
  <c r="B94" i="9"/>
  <c r="F93" i="9"/>
  <c r="D93" i="9"/>
  <c r="C93" i="9"/>
  <c r="B93" i="9"/>
  <c r="D92" i="9"/>
  <c r="F92" i="9" s="1"/>
  <c r="C92" i="9"/>
  <c r="B92" i="9"/>
  <c r="D91" i="9"/>
  <c r="F91" i="9" s="1"/>
  <c r="C91" i="9"/>
  <c r="B91" i="9"/>
  <c r="D90" i="9"/>
  <c r="F90" i="9" s="1"/>
  <c r="C90" i="9"/>
  <c r="B90" i="9"/>
  <c r="D89" i="9"/>
  <c r="F89" i="9" s="1"/>
  <c r="C89" i="9"/>
  <c r="B89" i="9"/>
  <c r="F88" i="9"/>
  <c r="D88" i="9"/>
  <c r="C88" i="9"/>
  <c r="B88" i="9"/>
  <c r="D87" i="9"/>
  <c r="F87" i="9" s="1"/>
  <c r="C87" i="9"/>
  <c r="B87" i="9"/>
  <c r="F86" i="9"/>
  <c r="D86" i="9"/>
  <c r="C86" i="9"/>
  <c r="B86" i="9"/>
  <c r="D85" i="9"/>
  <c r="F85" i="9" s="1"/>
  <c r="C85" i="9"/>
  <c r="B85" i="9"/>
  <c r="D84" i="9"/>
  <c r="F84" i="9" s="1"/>
  <c r="C84" i="9"/>
  <c r="B84" i="9"/>
  <c r="D83" i="9"/>
  <c r="F83" i="9" s="1"/>
  <c r="C83" i="9"/>
  <c r="B83" i="9"/>
  <c r="D82" i="9"/>
  <c r="F82" i="9" s="1"/>
  <c r="C82" i="9"/>
  <c r="B82" i="9"/>
  <c r="F81" i="9"/>
  <c r="D81" i="9"/>
  <c r="C81" i="9"/>
  <c r="B81" i="9"/>
  <c r="D80" i="9"/>
  <c r="F80" i="9" s="1"/>
  <c r="C80" i="9"/>
  <c r="B80" i="9"/>
  <c r="F79" i="9"/>
  <c r="D79" i="9"/>
  <c r="C79" i="9"/>
  <c r="B79" i="9"/>
  <c r="D78" i="9"/>
  <c r="F78" i="9" s="1"/>
  <c r="C78" i="9"/>
  <c r="B78" i="9"/>
  <c r="D77" i="9"/>
  <c r="F77" i="9" s="1"/>
  <c r="C77" i="9"/>
  <c r="B77" i="9"/>
  <c r="D76" i="9"/>
  <c r="F76" i="9" s="1"/>
  <c r="C76" i="9"/>
  <c r="B76" i="9"/>
  <c r="D75" i="9"/>
  <c r="F75" i="9" s="1"/>
  <c r="C75" i="9"/>
  <c r="B75" i="9"/>
  <c r="F74" i="9"/>
  <c r="D74" i="9"/>
  <c r="C74" i="9"/>
  <c r="B74" i="9"/>
  <c r="D73" i="9"/>
  <c r="F73" i="9" s="1"/>
  <c r="C73" i="9"/>
  <c r="B73" i="9"/>
  <c r="F72" i="9"/>
  <c r="D72" i="9"/>
  <c r="C72" i="9"/>
  <c r="B72" i="9"/>
  <c r="D71" i="9"/>
  <c r="F71" i="9" s="1"/>
  <c r="C71" i="9"/>
  <c r="B71" i="9"/>
  <c r="D70" i="9"/>
  <c r="F70" i="9" s="1"/>
  <c r="C70" i="9"/>
  <c r="B70" i="9"/>
  <c r="D69" i="9"/>
  <c r="F69" i="9" s="1"/>
  <c r="C69" i="9"/>
  <c r="B69" i="9"/>
  <c r="D68" i="9"/>
  <c r="F68" i="9" s="1"/>
  <c r="C68" i="9"/>
  <c r="B68" i="9"/>
  <c r="F67" i="9"/>
  <c r="D67" i="9"/>
  <c r="C67" i="9"/>
  <c r="B67" i="9"/>
  <c r="D66" i="9"/>
  <c r="F66" i="9" s="1"/>
  <c r="C66" i="9"/>
  <c r="B66" i="9"/>
  <c r="F65" i="9"/>
  <c r="D65" i="9"/>
  <c r="C65" i="9"/>
  <c r="B65" i="9"/>
  <c r="D64" i="9"/>
  <c r="F64" i="9" s="1"/>
  <c r="C64" i="9"/>
  <c r="B64" i="9"/>
  <c r="D63" i="9"/>
  <c r="F63" i="9" s="1"/>
  <c r="C63" i="9"/>
  <c r="B63" i="9"/>
  <c r="D62" i="9"/>
  <c r="F62" i="9" s="1"/>
  <c r="C62" i="9"/>
  <c r="B62" i="9"/>
  <c r="D61" i="9"/>
  <c r="F61" i="9" s="1"/>
  <c r="C61" i="9"/>
  <c r="B61" i="9"/>
  <c r="D60" i="9"/>
  <c r="F60" i="9" s="1"/>
  <c r="C60" i="9"/>
  <c r="B60" i="9"/>
  <c r="D59" i="9"/>
  <c r="F59" i="9" s="1"/>
  <c r="C59" i="9"/>
  <c r="B59" i="9"/>
  <c r="F58" i="9"/>
  <c r="D58" i="9"/>
  <c r="C58" i="9"/>
  <c r="B58" i="9"/>
  <c r="D57" i="9"/>
  <c r="F57" i="9" s="1"/>
  <c r="C57" i="9"/>
  <c r="B57" i="9"/>
  <c r="D56" i="9"/>
  <c r="F56" i="9" s="1"/>
  <c r="C56" i="9"/>
  <c r="B56" i="9"/>
  <c r="D55" i="9"/>
  <c r="F55" i="9" s="1"/>
  <c r="C55" i="9"/>
  <c r="B55" i="9"/>
  <c r="D54" i="9"/>
  <c r="F54" i="9" s="1"/>
  <c r="C54" i="9"/>
  <c r="B54" i="9"/>
  <c r="D53" i="9"/>
  <c r="F53" i="9" s="1"/>
  <c r="C53" i="9"/>
  <c r="B53" i="9"/>
  <c r="D52" i="9"/>
  <c r="F52" i="9" s="1"/>
  <c r="C52" i="9"/>
  <c r="B52" i="9"/>
  <c r="D51" i="9"/>
  <c r="F51" i="9" s="1"/>
  <c r="C51" i="9"/>
  <c r="B51" i="9"/>
  <c r="D50" i="9"/>
  <c r="F50" i="9" s="1"/>
  <c r="C50" i="9"/>
  <c r="B50" i="9"/>
  <c r="D49" i="9"/>
  <c r="F49" i="9" s="1"/>
  <c r="C49" i="9"/>
  <c r="B49" i="9"/>
  <c r="D48" i="9"/>
  <c r="F48" i="9" s="1"/>
  <c r="C48" i="9"/>
  <c r="B48" i="9"/>
  <c r="D47" i="9"/>
  <c r="F47" i="9" s="1"/>
  <c r="C47" i="9"/>
  <c r="B47" i="9"/>
  <c r="D46" i="9"/>
  <c r="F46" i="9" s="1"/>
  <c r="C46" i="9"/>
  <c r="B46" i="9"/>
  <c r="D45" i="9"/>
  <c r="F45" i="9" s="1"/>
  <c r="C45" i="9"/>
  <c r="B45" i="9"/>
  <c r="D44" i="9"/>
  <c r="F44" i="9" s="1"/>
  <c r="C44" i="9"/>
  <c r="B44" i="9"/>
  <c r="D43" i="9"/>
  <c r="F43" i="9" s="1"/>
  <c r="C43" i="9"/>
  <c r="B43" i="9"/>
  <c r="D42" i="9"/>
  <c r="F42" i="9" s="1"/>
  <c r="C42" i="9"/>
  <c r="B42" i="9"/>
  <c r="D41" i="9"/>
  <c r="F41" i="9" s="1"/>
  <c r="C41" i="9"/>
  <c r="B41" i="9"/>
  <c r="D40" i="9"/>
  <c r="F40" i="9" s="1"/>
  <c r="C40" i="9"/>
  <c r="B40" i="9"/>
  <c r="D39" i="9"/>
  <c r="F39" i="9" s="1"/>
  <c r="C39" i="9"/>
  <c r="B39" i="9"/>
  <c r="D38" i="9"/>
  <c r="F38" i="9" s="1"/>
  <c r="C38" i="9"/>
  <c r="B38" i="9"/>
  <c r="D37" i="9"/>
  <c r="F37" i="9" s="1"/>
  <c r="C37" i="9"/>
  <c r="B37" i="9"/>
  <c r="D36" i="9"/>
  <c r="F36" i="9" s="1"/>
  <c r="C36" i="9"/>
  <c r="B36" i="9"/>
  <c r="D35" i="9"/>
  <c r="F35" i="9" s="1"/>
  <c r="C35" i="9"/>
  <c r="B35" i="9"/>
  <c r="D34" i="9"/>
  <c r="F34" i="9" s="1"/>
  <c r="C34" i="9"/>
  <c r="B34" i="9"/>
  <c r="D33" i="9"/>
  <c r="F33" i="9" s="1"/>
  <c r="C33" i="9"/>
  <c r="B33" i="9"/>
  <c r="D32" i="9"/>
  <c r="F32" i="9" s="1"/>
  <c r="C32" i="9"/>
  <c r="B32" i="9"/>
  <c r="D31" i="9"/>
  <c r="F31" i="9" s="1"/>
  <c r="C31" i="9"/>
  <c r="B31" i="9"/>
  <c r="D30" i="9"/>
  <c r="F30" i="9" s="1"/>
  <c r="C30" i="9"/>
  <c r="B30" i="9"/>
  <c r="D29" i="9"/>
  <c r="F29" i="9" s="1"/>
  <c r="C29" i="9"/>
  <c r="B29" i="9"/>
  <c r="D28" i="9"/>
  <c r="F28" i="9" s="1"/>
  <c r="C28" i="9"/>
  <c r="B28" i="9"/>
  <c r="D27" i="9"/>
  <c r="F27" i="9" s="1"/>
  <c r="C27" i="9"/>
  <c r="B27" i="9"/>
  <c r="D26" i="9"/>
  <c r="F26" i="9" s="1"/>
  <c r="C26" i="9"/>
  <c r="B26" i="9"/>
  <c r="D25" i="9"/>
  <c r="F25" i="9" s="1"/>
  <c r="C25" i="9"/>
  <c r="B25" i="9"/>
  <c r="D24" i="9"/>
  <c r="F24" i="9" s="1"/>
  <c r="C24" i="9"/>
  <c r="B24" i="9"/>
  <c r="D23" i="9"/>
  <c r="F23" i="9" s="1"/>
  <c r="C23" i="9"/>
  <c r="B23" i="9"/>
  <c r="D22" i="9"/>
  <c r="F22" i="9" s="1"/>
  <c r="C22" i="9"/>
  <c r="B22" i="9"/>
  <c r="D21" i="9"/>
  <c r="F21" i="9" s="1"/>
  <c r="C21" i="9"/>
  <c r="B21" i="9"/>
  <c r="D20" i="9"/>
  <c r="F20" i="9" s="1"/>
  <c r="C20" i="9"/>
  <c r="B20" i="9"/>
  <c r="D19" i="9"/>
  <c r="F19" i="9" s="1"/>
  <c r="C19" i="9"/>
  <c r="B19" i="9"/>
  <c r="D18" i="9"/>
  <c r="F18" i="9" s="1"/>
  <c r="C18" i="9"/>
  <c r="B18" i="9"/>
  <c r="D17" i="9"/>
  <c r="F17" i="9" s="1"/>
  <c r="C17" i="9"/>
  <c r="B17" i="9"/>
  <c r="D16" i="9"/>
  <c r="F16" i="9" s="1"/>
  <c r="C16" i="9"/>
  <c r="B16" i="9"/>
  <c r="D15" i="9"/>
  <c r="F15" i="9" s="1"/>
  <c r="C15" i="9"/>
  <c r="B15" i="9"/>
  <c r="D14" i="9"/>
  <c r="F14" i="9" s="1"/>
  <c r="C14" i="9"/>
  <c r="B14" i="9"/>
  <c r="D13" i="9"/>
  <c r="F13" i="9" s="1"/>
  <c r="C13" i="9"/>
  <c r="B13" i="9"/>
  <c r="D12" i="9"/>
  <c r="F12" i="9" s="1"/>
  <c r="C12" i="9"/>
  <c r="B12" i="9"/>
  <c r="D11" i="9"/>
  <c r="F11" i="9" s="1"/>
  <c r="C11" i="9"/>
  <c r="B11" i="9"/>
  <c r="D10" i="9"/>
  <c r="F10" i="9" s="1"/>
  <c r="C10" i="9"/>
  <c r="B10" i="9"/>
  <c r="D9" i="9"/>
  <c r="F9" i="9" s="1"/>
  <c r="C9" i="9"/>
  <c r="B9" i="9"/>
  <c r="D8" i="9"/>
  <c r="F8" i="9" s="1"/>
  <c r="C8" i="9"/>
  <c r="B8" i="9"/>
  <c r="D99" i="8"/>
  <c r="F99" i="8" s="1"/>
  <c r="C99" i="8"/>
  <c r="B99" i="8"/>
  <c r="D98" i="8"/>
  <c r="F98" i="8" s="1"/>
  <c r="C98" i="8"/>
  <c r="B98" i="8"/>
  <c r="F97" i="8"/>
  <c r="D97" i="8"/>
  <c r="C97" i="8"/>
  <c r="B97" i="8"/>
  <c r="D96" i="8"/>
  <c r="F96" i="8" s="1"/>
  <c r="C96" i="8"/>
  <c r="B96" i="8"/>
  <c r="D95" i="8"/>
  <c r="F95" i="8" s="1"/>
  <c r="C95" i="8"/>
  <c r="B95" i="8"/>
  <c r="D94" i="8"/>
  <c r="F94" i="8" s="1"/>
  <c r="C94" i="8"/>
  <c r="B94" i="8"/>
  <c r="D93" i="8"/>
  <c r="F93" i="8" s="1"/>
  <c r="C93" i="8"/>
  <c r="B93" i="8"/>
  <c r="D92" i="8"/>
  <c r="F92" i="8" s="1"/>
  <c r="C92" i="8"/>
  <c r="B92" i="8"/>
  <c r="F91" i="8"/>
  <c r="D91" i="8"/>
  <c r="C91" i="8"/>
  <c r="B91" i="8"/>
  <c r="F90" i="8"/>
  <c r="D90" i="8"/>
  <c r="C90" i="8"/>
  <c r="B90" i="8"/>
  <c r="D89" i="8"/>
  <c r="F89" i="8" s="1"/>
  <c r="C89" i="8"/>
  <c r="B89" i="8"/>
  <c r="D88" i="8"/>
  <c r="F88" i="8" s="1"/>
  <c r="C88" i="8"/>
  <c r="B88" i="8"/>
  <c r="D87" i="8"/>
  <c r="F87" i="8" s="1"/>
  <c r="C87" i="8"/>
  <c r="B87" i="8"/>
  <c r="D86" i="8"/>
  <c r="F86" i="8" s="1"/>
  <c r="C86" i="8"/>
  <c r="B86" i="8"/>
  <c r="D85" i="8"/>
  <c r="F85" i="8" s="1"/>
  <c r="C85" i="8"/>
  <c r="B85" i="8"/>
  <c r="F84" i="8"/>
  <c r="D84" i="8"/>
  <c r="C84" i="8"/>
  <c r="B84" i="8"/>
  <c r="F83" i="8"/>
  <c r="D83" i="8"/>
  <c r="C83" i="8"/>
  <c r="B83" i="8"/>
  <c r="D82" i="8"/>
  <c r="F82" i="8" s="1"/>
  <c r="C82" i="8"/>
  <c r="B82" i="8"/>
  <c r="D81" i="8"/>
  <c r="F81" i="8" s="1"/>
  <c r="C81" i="8"/>
  <c r="B81" i="8"/>
  <c r="D80" i="8"/>
  <c r="F80" i="8" s="1"/>
  <c r="C80" i="8"/>
  <c r="B80" i="8"/>
  <c r="D79" i="8"/>
  <c r="F79" i="8" s="1"/>
  <c r="C79" i="8"/>
  <c r="B79" i="8"/>
  <c r="D78" i="8"/>
  <c r="F78" i="8" s="1"/>
  <c r="C78" i="8"/>
  <c r="B78" i="8"/>
  <c r="F77" i="8"/>
  <c r="D77" i="8"/>
  <c r="C77" i="8"/>
  <c r="B77" i="8"/>
  <c r="F76" i="8"/>
  <c r="D76" i="8"/>
  <c r="C76" i="8"/>
  <c r="B76" i="8"/>
  <c r="D75" i="8"/>
  <c r="F75" i="8" s="1"/>
  <c r="C75" i="8"/>
  <c r="B75" i="8"/>
  <c r="D74" i="8"/>
  <c r="F74" i="8" s="1"/>
  <c r="C74" i="8"/>
  <c r="B74" i="8"/>
  <c r="D73" i="8"/>
  <c r="F73" i="8" s="1"/>
  <c r="C73" i="8"/>
  <c r="B73" i="8"/>
  <c r="D72" i="8"/>
  <c r="F72" i="8" s="1"/>
  <c r="C72" i="8"/>
  <c r="B72" i="8"/>
  <c r="F71" i="8"/>
  <c r="D71" i="8"/>
  <c r="C71" i="8"/>
  <c r="B71" i="8"/>
  <c r="F70" i="8"/>
  <c r="D70" i="8"/>
  <c r="C70" i="8"/>
  <c r="B70" i="8"/>
  <c r="F69" i="8"/>
  <c r="D69" i="8"/>
  <c r="C69" i="8"/>
  <c r="B69" i="8"/>
  <c r="D68" i="8"/>
  <c r="F68" i="8" s="1"/>
  <c r="C68" i="8"/>
  <c r="B68" i="8"/>
  <c r="D67" i="8"/>
  <c r="F67" i="8" s="1"/>
  <c r="C67" i="8"/>
  <c r="B67" i="8"/>
  <c r="D66" i="8"/>
  <c r="F66" i="8" s="1"/>
  <c r="C66" i="8"/>
  <c r="B66" i="8"/>
  <c r="D65" i="8"/>
  <c r="F65" i="8" s="1"/>
  <c r="C65" i="8"/>
  <c r="B65" i="8"/>
  <c r="D64" i="8"/>
  <c r="F64" i="8" s="1"/>
  <c r="C64" i="8"/>
  <c r="B64" i="8"/>
  <c r="F63" i="8"/>
  <c r="D63" i="8"/>
  <c r="C63" i="8"/>
  <c r="B63" i="8"/>
  <c r="D62" i="8"/>
  <c r="F62" i="8" s="1"/>
  <c r="C62" i="8"/>
  <c r="B62" i="8"/>
  <c r="D61" i="8"/>
  <c r="F61" i="8" s="1"/>
  <c r="C61" i="8"/>
  <c r="B61" i="8"/>
  <c r="D60" i="8"/>
  <c r="F60" i="8" s="1"/>
  <c r="C60" i="8"/>
  <c r="B60" i="8"/>
  <c r="D59" i="8"/>
  <c r="F59" i="8" s="1"/>
  <c r="C59" i="8"/>
  <c r="B59" i="8"/>
  <c r="D58" i="8"/>
  <c r="F58" i="8" s="1"/>
  <c r="C58" i="8"/>
  <c r="B58" i="8"/>
  <c r="D57" i="8"/>
  <c r="F57" i="8" s="1"/>
  <c r="C57" i="8"/>
  <c r="B57" i="8"/>
  <c r="D56" i="8"/>
  <c r="F56" i="8" s="1"/>
  <c r="C56" i="8"/>
  <c r="B56" i="8"/>
  <c r="D55" i="8"/>
  <c r="F55" i="8" s="1"/>
  <c r="C55" i="8"/>
  <c r="B55" i="8"/>
  <c r="D54" i="8"/>
  <c r="F54" i="8" s="1"/>
  <c r="C54" i="8"/>
  <c r="B54" i="8"/>
  <c r="D53" i="8"/>
  <c r="F53" i="8" s="1"/>
  <c r="C53" i="8"/>
  <c r="B53" i="8"/>
  <c r="D52" i="8"/>
  <c r="F52" i="8" s="1"/>
  <c r="C52" i="8"/>
  <c r="B52" i="8"/>
  <c r="D51" i="8"/>
  <c r="F51" i="8" s="1"/>
  <c r="C51" i="8"/>
  <c r="B51" i="8"/>
  <c r="D50" i="8"/>
  <c r="F50" i="8" s="1"/>
  <c r="C50" i="8"/>
  <c r="B50" i="8"/>
  <c r="D49" i="8"/>
  <c r="F49" i="8" s="1"/>
  <c r="C49" i="8"/>
  <c r="B49" i="8"/>
  <c r="D48" i="8"/>
  <c r="F48" i="8" s="1"/>
  <c r="C48" i="8"/>
  <c r="B48" i="8"/>
  <c r="D47" i="8"/>
  <c r="F47" i="8" s="1"/>
  <c r="C47" i="8"/>
  <c r="B47" i="8"/>
  <c r="D46" i="8"/>
  <c r="F46" i="8" s="1"/>
  <c r="C46" i="8"/>
  <c r="B46" i="8"/>
  <c r="D45" i="8"/>
  <c r="F45" i="8" s="1"/>
  <c r="C45" i="8"/>
  <c r="B45" i="8"/>
  <c r="D44" i="8"/>
  <c r="F44" i="8" s="1"/>
  <c r="C44" i="8"/>
  <c r="B44" i="8"/>
  <c r="D43" i="8"/>
  <c r="F43" i="8" s="1"/>
  <c r="C43" i="8"/>
  <c r="B43" i="8"/>
  <c r="D42" i="8"/>
  <c r="F42" i="8" s="1"/>
  <c r="C42" i="8"/>
  <c r="B42" i="8"/>
  <c r="D41" i="8"/>
  <c r="F41" i="8" s="1"/>
  <c r="C41" i="8"/>
  <c r="B41" i="8"/>
  <c r="D40" i="8"/>
  <c r="F40" i="8" s="1"/>
  <c r="C40" i="8"/>
  <c r="B40" i="8"/>
  <c r="D39" i="8"/>
  <c r="F39" i="8" s="1"/>
  <c r="C39" i="8"/>
  <c r="B39" i="8"/>
  <c r="D38" i="8"/>
  <c r="F38" i="8" s="1"/>
  <c r="C38" i="8"/>
  <c r="B38" i="8"/>
  <c r="D37" i="8"/>
  <c r="F37" i="8" s="1"/>
  <c r="C37" i="8"/>
  <c r="B37" i="8"/>
  <c r="D36" i="8"/>
  <c r="F36" i="8" s="1"/>
  <c r="C36" i="8"/>
  <c r="B36" i="8"/>
  <c r="D35" i="8"/>
  <c r="F35" i="8" s="1"/>
  <c r="C35" i="8"/>
  <c r="B35" i="8"/>
  <c r="D34" i="8"/>
  <c r="F34" i="8" s="1"/>
  <c r="C34" i="8"/>
  <c r="B34" i="8"/>
  <c r="D33" i="8"/>
  <c r="F33" i="8" s="1"/>
  <c r="C33" i="8"/>
  <c r="B33" i="8"/>
  <c r="D32" i="8"/>
  <c r="F32" i="8" s="1"/>
  <c r="C32" i="8"/>
  <c r="B32" i="8"/>
  <c r="D31" i="8"/>
  <c r="F31" i="8" s="1"/>
  <c r="C31" i="8"/>
  <c r="B31" i="8"/>
  <c r="D30" i="8"/>
  <c r="F30" i="8" s="1"/>
  <c r="C30" i="8"/>
  <c r="B30" i="8"/>
  <c r="D29" i="8"/>
  <c r="F29" i="8" s="1"/>
  <c r="C29" i="8"/>
  <c r="B29" i="8"/>
  <c r="D28" i="8"/>
  <c r="F28" i="8" s="1"/>
  <c r="C28" i="8"/>
  <c r="B28" i="8"/>
  <c r="D27" i="8"/>
  <c r="F27" i="8" s="1"/>
  <c r="C27" i="8"/>
  <c r="B27" i="8"/>
  <c r="D26" i="8"/>
  <c r="F26" i="8" s="1"/>
  <c r="C26" i="8"/>
  <c r="B26" i="8"/>
  <c r="D25" i="8"/>
  <c r="F25" i="8" s="1"/>
  <c r="C25" i="8"/>
  <c r="B25" i="8"/>
  <c r="D24" i="8"/>
  <c r="F24" i="8" s="1"/>
  <c r="C24" i="8"/>
  <c r="B24" i="8"/>
  <c r="D23" i="8"/>
  <c r="F23" i="8" s="1"/>
  <c r="C23" i="8"/>
  <c r="B23" i="8"/>
  <c r="D22" i="8"/>
  <c r="F22" i="8" s="1"/>
  <c r="C22" i="8"/>
  <c r="B22" i="8"/>
  <c r="D21" i="8"/>
  <c r="F21" i="8" s="1"/>
  <c r="C21" i="8"/>
  <c r="B21" i="8"/>
  <c r="D20" i="8"/>
  <c r="F20" i="8" s="1"/>
  <c r="C20" i="8"/>
  <c r="B20" i="8"/>
  <c r="D19" i="8"/>
  <c r="F19" i="8" s="1"/>
  <c r="C19" i="8"/>
  <c r="B19" i="8"/>
  <c r="D18" i="8"/>
  <c r="F18" i="8" s="1"/>
  <c r="C18" i="8"/>
  <c r="B18" i="8"/>
  <c r="D17" i="8"/>
  <c r="F17" i="8" s="1"/>
  <c r="C17" i="8"/>
  <c r="B17" i="8"/>
  <c r="D16" i="8"/>
  <c r="F16" i="8" s="1"/>
  <c r="C16" i="8"/>
  <c r="B16" i="8"/>
  <c r="D15" i="8"/>
  <c r="F15" i="8" s="1"/>
  <c r="C15" i="8"/>
  <c r="B15" i="8"/>
  <c r="D14" i="8"/>
  <c r="F14" i="8" s="1"/>
  <c r="C14" i="8"/>
  <c r="B14" i="8"/>
  <c r="D13" i="8"/>
  <c r="F13" i="8" s="1"/>
  <c r="C13" i="8"/>
  <c r="B13" i="8"/>
  <c r="D12" i="8"/>
  <c r="F12" i="8" s="1"/>
  <c r="C12" i="8"/>
  <c r="B12" i="8"/>
  <c r="D11" i="8"/>
  <c r="F11" i="8" s="1"/>
  <c r="C11" i="8"/>
  <c r="B11" i="8"/>
  <c r="D10" i="8"/>
  <c r="F10" i="8" s="1"/>
  <c r="C10" i="8"/>
  <c r="B10" i="8"/>
  <c r="D9" i="8"/>
  <c r="F9" i="8" s="1"/>
  <c r="C9" i="8"/>
  <c r="B9" i="8"/>
  <c r="D8" i="8"/>
  <c r="F8" i="8" s="1"/>
  <c r="C8" i="8"/>
  <c r="B8" i="8"/>
  <c r="D99" i="7"/>
  <c r="F99" i="7" s="1"/>
  <c r="C99" i="7"/>
  <c r="B99" i="7"/>
  <c r="D98" i="7"/>
  <c r="F98" i="7" s="1"/>
  <c r="C98" i="7"/>
  <c r="B98" i="7"/>
  <c r="D97" i="7"/>
  <c r="F97" i="7" s="1"/>
  <c r="C97" i="7"/>
  <c r="B97" i="7"/>
  <c r="D96" i="7"/>
  <c r="F96" i="7" s="1"/>
  <c r="C96" i="7"/>
  <c r="B96" i="7"/>
  <c r="D95" i="7"/>
  <c r="F95" i="7" s="1"/>
  <c r="C95" i="7"/>
  <c r="B95" i="7"/>
  <c r="F94" i="7"/>
  <c r="D94" i="7"/>
  <c r="C94" i="7"/>
  <c r="B94" i="7"/>
  <c r="F93" i="7"/>
  <c r="D93" i="7"/>
  <c r="C93" i="7"/>
  <c r="B93" i="7"/>
  <c r="D92" i="7"/>
  <c r="F92" i="7" s="1"/>
  <c r="C92" i="7"/>
  <c r="B92" i="7"/>
  <c r="D91" i="7"/>
  <c r="F91" i="7" s="1"/>
  <c r="C91" i="7"/>
  <c r="B91" i="7"/>
  <c r="D90" i="7"/>
  <c r="F90" i="7" s="1"/>
  <c r="C90" i="7"/>
  <c r="B90" i="7"/>
  <c r="D89" i="7"/>
  <c r="F89" i="7" s="1"/>
  <c r="C89" i="7"/>
  <c r="B89" i="7"/>
  <c r="D88" i="7"/>
  <c r="F88" i="7" s="1"/>
  <c r="C88" i="7"/>
  <c r="B88" i="7"/>
  <c r="F87" i="7"/>
  <c r="D87" i="7"/>
  <c r="C87" i="7"/>
  <c r="B87" i="7"/>
  <c r="F86" i="7"/>
  <c r="D86" i="7"/>
  <c r="C86" i="7"/>
  <c r="B86" i="7"/>
  <c r="D85" i="7"/>
  <c r="F85" i="7" s="1"/>
  <c r="C85" i="7"/>
  <c r="B85" i="7"/>
  <c r="D84" i="7"/>
  <c r="F84" i="7" s="1"/>
  <c r="C84" i="7"/>
  <c r="B84" i="7"/>
  <c r="D83" i="7"/>
  <c r="F83" i="7" s="1"/>
  <c r="C83" i="7"/>
  <c r="B83" i="7"/>
  <c r="D82" i="7"/>
  <c r="F82" i="7" s="1"/>
  <c r="C82" i="7"/>
  <c r="B82" i="7"/>
  <c r="D81" i="7"/>
  <c r="F81" i="7" s="1"/>
  <c r="C81" i="7"/>
  <c r="B81" i="7"/>
  <c r="F80" i="7"/>
  <c r="D80" i="7"/>
  <c r="C80" i="7"/>
  <c r="B80" i="7"/>
  <c r="F79" i="7"/>
  <c r="D79" i="7"/>
  <c r="C79" i="7"/>
  <c r="B79" i="7"/>
  <c r="D78" i="7"/>
  <c r="F78" i="7" s="1"/>
  <c r="C78" i="7"/>
  <c r="B78" i="7"/>
  <c r="D77" i="7"/>
  <c r="F77" i="7" s="1"/>
  <c r="C77" i="7"/>
  <c r="B77" i="7"/>
  <c r="D76" i="7"/>
  <c r="F76" i="7" s="1"/>
  <c r="C76" i="7"/>
  <c r="B76" i="7"/>
  <c r="D75" i="7"/>
  <c r="F75" i="7" s="1"/>
  <c r="C75" i="7"/>
  <c r="B75" i="7"/>
  <c r="D74" i="7"/>
  <c r="F74" i="7" s="1"/>
  <c r="C74" i="7"/>
  <c r="B74" i="7"/>
  <c r="F73" i="7"/>
  <c r="D73" i="7"/>
  <c r="C73" i="7"/>
  <c r="B73" i="7"/>
  <c r="F72" i="7"/>
  <c r="D72" i="7"/>
  <c r="C72" i="7"/>
  <c r="B72" i="7"/>
  <c r="D71" i="7"/>
  <c r="F71" i="7" s="1"/>
  <c r="C71" i="7"/>
  <c r="B71" i="7"/>
  <c r="D70" i="7"/>
  <c r="F70" i="7" s="1"/>
  <c r="C70" i="7"/>
  <c r="B70" i="7"/>
  <c r="D69" i="7"/>
  <c r="F69" i="7" s="1"/>
  <c r="C69" i="7"/>
  <c r="B69" i="7"/>
  <c r="D68" i="7"/>
  <c r="F68" i="7" s="1"/>
  <c r="C68" i="7"/>
  <c r="B68" i="7"/>
  <c r="D67" i="7"/>
  <c r="F67" i="7" s="1"/>
  <c r="C67" i="7"/>
  <c r="B67" i="7"/>
  <c r="F66" i="7"/>
  <c r="D66" i="7"/>
  <c r="C66" i="7"/>
  <c r="B66" i="7"/>
  <c r="F65" i="7"/>
  <c r="D65" i="7"/>
  <c r="C65" i="7"/>
  <c r="B65" i="7"/>
  <c r="D64" i="7"/>
  <c r="F64" i="7" s="1"/>
  <c r="C64" i="7"/>
  <c r="B64" i="7"/>
  <c r="D63" i="7"/>
  <c r="F63" i="7" s="1"/>
  <c r="C63" i="7"/>
  <c r="B63" i="7"/>
  <c r="D62" i="7"/>
  <c r="F62" i="7" s="1"/>
  <c r="C62" i="7"/>
  <c r="B62" i="7"/>
  <c r="D61" i="7"/>
  <c r="F61" i="7" s="1"/>
  <c r="C61" i="7"/>
  <c r="B61" i="7"/>
  <c r="D60" i="7"/>
  <c r="F60" i="7" s="1"/>
  <c r="C60" i="7"/>
  <c r="B60" i="7"/>
  <c r="F59" i="7"/>
  <c r="D59" i="7"/>
  <c r="C59" i="7"/>
  <c r="B59" i="7"/>
  <c r="F58" i="7"/>
  <c r="D58" i="7"/>
  <c r="C58" i="7"/>
  <c r="B58" i="7"/>
  <c r="D57" i="7"/>
  <c r="F57" i="7" s="1"/>
  <c r="C57" i="7"/>
  <c r="B57" i="7"/>
  <c r="D56" i="7"/>
  <c r="F56" i="7" s="1"/>
  <c r="C56" i="7"/>
  <c r="B56" i="7"/>
  <c r="D55" i="7"/>
  <c r="F55" i="7" s="1"/>
  <c r="C55" i="7"/>
  <c r="B55" i="7"/>
  <c r="D54" i="7"/>
  <c r="F54" i="7" s="1"/>
  <c r="C54" i="7"/>
  <c r="B54" i="7"/>
  <c r="D53" i="7"/>
  <c r="F53" i="7" s="1"/>
  <c r="C53" i="7"/>
  <c r="B53" i="7"/>
  <c r="F52" i="7"/>
  <c r="D52" i="7"/>
  <c r="C52" i="7"/>
  <c r="B52" i="7"/>
  <c r="F51" i="7"/>
  <c r="D51" i="7"/>
  <c r="C51" i="7"/>
  <c r="B51" i="7"/>
  <c r="D50" i="7"/>
  <c r="F50" i="7" s="1"/>
  <c r="C50" i="7"/>
  <c r="B50" i="7"/>
  <c r="D49" i="7"/>
  <c r="F49" i="7" s="1"/>
  <c r="C49" i="7"/>
  <c r="B49" i="7"/>
  <c r="D48" i="7"/>
  <c r="F48" i="7" s="1"/>
  <c r="C48" i="7"/>
  <c r="B48" i="7"/>
  <c r="D47" i="7"/>
  <c r="F47" i="7" s="1"/>
  <c r="C47" i="7"/>
  <c r="B47" i="7"/>
  <c r="D46" i="7"/>
  <c r="F46" i="7" s="1"/>
  <c r="C46" i="7"/>
  <c r="B46" i="7"/>
  <c r="F45" i="7"/>
  <c r="D45" i="7"/>
  <c r="C45" i="7"/>
  <c r="B45" i="7"/>
  <c r="F44" i="7"/>
  <c r="D44" i="7"/>
  <c r="C44" i="7"/>
  <c r="B44" i="7"/>
  <c r="D43" i="7"/>
  <c r="F43" i="7" s="1"/>
  <c r="C43" i="7"/>
  <c r="B43" i="7"/>
  <c r="D42" i="7"/>
  <c r="F42" i="7" s="1"/>
  <c r="C42" i="7"/>
  <c r="B42" i="7"/>
  <c r="D41" i="7"/>
  <c r="F41" i="7" s="1"/>
  <c r="C41" i="7"/>
  <c r="B41" i="7"/>
  <c r="D40" i="7"/>
  <c r="F40" i="7" s="1"/>
  <c r="C40" i="7"/>
  <c r="B40" i="7"/>
  <c r="D39" i="7"/>
  <c r="F39" i="7" s="1"/>
  <c r="C39" i="7"/>
  <c r="B39" i="7"/>
  <c r="F38" i="7"/>
  <c r="D38" i="7"/>
  <c r="C38" i="7"/>
  <c r="B38" i="7"/>
  <c r="F37" i="7"/>
  <c r="D37" i="7"/>
  <c r="C37" i="7"/>
  <c r="B37" i="7"/>
  <c r="D36" i="7"/>
  <c r="F36" i="7" s="1"/>
  <c r="C36" i="7"/>
  <c r="B36" i="7"/>
  <c r="D35" i="7"/>
  <c r="F35" i="7" s="1"/>
  <c r="C35" i="7"/>
  <c r="B35" i="7"/>
  <c r="D34" i="7"/>
  <c r="F34" i="7" s="1"/>
  <c r="C34" i="7"/>
  <c r="B34" i="7"/>
  <c r="D33" i="7"/>
  <c r="F33" i="7" s="1"/>
  <c r="C33" i="7"/>
  <c r="B33" i="7"/>
  <c r="D32" i="7"/>
  <c r="F32" i="7" s="1"/>
  <c r="C32" i="7"/>
  <c r="B32" i="7"/>
  <c r="F31" i="7"/>
  <c r="D31" i="7"/>
  <c r="C31" i="7"/>
  <c r="B31" i="7"/>
  <c r="F30" i="7"/>
  <c r="D30" i="7"/>
  <c r="C30" i="7"/>
  <c r="B30" i="7"/>
  <c r="D29" i="7"/>
  <c r="F29" i="7" s="1"/>
  <c r="C29" i="7"/>
  <c r="B29" i="7"/>
  <c r="D28" i="7"/>
  <c r="F28" i="7" s="1"/>
  <c r="C28" i="7"/>
  <c r="B28" i="7"/>
  <c r="D27" i="7"/>
  <c r="F27" i="7" s="1"/>
  <c r="C27" i="7"/>
  <c r="B27" i="7"/>
  <c r="D26" i="7"/>
  <c r="F26" i="7" s="1"/>
  <c r="C26" i="7"/>
  <c r="B26" i="7"/>
  <c r="D25" i="7"/>
  <c r="F25" i="7" s="1"/>
  <c r="C25" i="7"/>
  <c r="B25" i="7"/>
  <c r="D24" i="7"/>
  <c r="F24" i="7" s="1"/>
  <c r="C24" i="7"/>
  <c r="B24" i="7"/>
  <c r="F23" i="7"/>
  <c r="D23" i="7"/>
  <c r="C23" i="7"/>
  <c r="B23" i="7"/>
  <c r="D22" i="7"/>
  <c r="F22" i="7" s="1"/>
  <c r="C22" i="7"/>
  <c r="B22" i="7"/>
  <c r="D21" i="7"/>
  <c r="F21" i="7" s="1"/>
  <c r="C21" i="7"/>
  <c r="B21" i="7"/>
  <c r="D20" i="7"/>
  <c r="F20" i="7" s="1"/>
  <c r="C20" i="7"/>
  <c r="B20" i="7"/>
  <c r="D19" i="7"/>
  <c r="F19" i="7" s="1"/>
  <c r="C19" i="7"/>
  <c r="B19" i="7"/>
  <c r="D18" i="7"/>
  <c r="F18" i="7" s="1"/>
  <c r="C18" i="7"/>
  <c r="B18" i="7"/>
  <c r="D17" i="7"/>
  <c r="F17" i="7" s="1"/>
  <c r="C17" i="7"/>
  <c r="B17" i="7"/>
  <c r="F16" i="7"/>
  <c r="D16" i="7"/>
  <c r="C16" i="7"/>
  <c r="B16" i="7"/>
  <c r="D15" i="7"/>
  <c r="F15" i="7" s="1"/>
  <c r="C15" i="7"/>
  <c r="B15" i="7"/>
  <c r="D14" i="7"/>
  <c r="F14" i="7" s="1"/>
  <c r="C14" i="7"/>
  <c r="B14" i="7"/>
  <c r="D13" i="7"/>
  <c r="F13" i="7" s="1"/>
  <c r="C13" i="7"/>
  <c r="B13" i="7"/>
  <c r="D12" i="7"/>
  <c r="F12" i="7" s="1"/>
  <c r="C12" i="7"/>
  <c r="B12" i="7"/>
  <c r="D11" i="7"/>
  <c r="F11" i="7" s="1"/>
  <c r="C11" i="7"/>
  <c r="B11" i="7"/>
  <c r="D10" i="7"/>
  <c r="F10" i="7" s="1"/>
  <c r="C10" i="7"/>
  <c r="B10" i="7"/>
  <c r="F9" i="7"/>
  <c r="D9" i="7"/>
  <c r="C9" i="7"/>
  <c r="B9" i="7"/>
  <c r="D8" i="7"/>
  <c r="F8" i="7" s="1"/>
  <c r="C8" i="7"/>
  <c r="B8" i="7"/>
  <c r="D99" i="5"/>
  <c r="F99" i="5" s="1"/>
  <c r="C99" i="5"/>
  <c r="B99" i="5"/>
  <c r="D98" i="5"/>
  <c r="F98" i="5" s="1"/>
  <c r="C98" i="5"/>
  <c r="B98" i="5"/>
  <c r="D97" i="5"/>
  <c r="F97" i="5" s="1"/>
  <c r="C97" i="5"/>
  <c r="B97" i="5"/>
  <c r="D96" i="5"/>
  <c r="F96" i="5" s="1"/>
  <c r="C96" i="5"/>
  <c r="B96" i="5"/>
  <c r="D95" i="5"/>
  <c r="F95" i="5" s="1"/>
  <c r="C95" i="5"/>
  <c r="B95" i="5"/>
  <c r="D94" i="5"/>
  <c r="F94" i="5" s="1"/>
  <c r="C94" i="5"/>
  <c r="B94" i="5"/>
  <c r="D93" i="5"/>
  <c r="F93" i="5" s="1"/>
  <c r="C93" i="5"/>
  <c r="B93" i="5"/>
  <c r="D92" i="5"/>
  <c r="F92" i="5" s="1"/>
  <c r="C92" i="5"/>
  <c r="B92" i="5"/>
  <c r="D91" i="5"/>
  <c r="F91" i="5" s="1"/>
  <c r="C91" i="5"/>
  <c r="B91" i="5"/>
  <c r="D90" i="5"/>
  <c r="F90" i="5" s="1"/>
  <c r="C90" i="5"/>
  <c r="B90" i="5"/>
  <c r="D89" i="5"/>
  <c r="F89" i="5" s="1"/>
  <c r="C89" i="5"/>
  <c r="B89" i="5"/>
  <c r="D88" i="5"/>
  <c r="F88" i="5" s="1"/>
  <c r="C88" i="5"/>
  <c r="B88" i="5"/>
  <c r="D87" i="5"/>
  <c r="F87" i="5" s="1"/>
  <c r="C87" i="5"/>
  <c r="B87" i="5"/>
  <c r="D86" i="5"/>
  <c r="F86" i="5" s="1"/>
  <c r="C86" i="5"/>
  <c r="B86" i="5"/>
  <c r="F85" i="5"/>
  <c r="D85" i="5"/>
  <c r="C85" i="5"/>
  <c r="B85" i="5"/>
  <c r="D84" i="5"/>
  <c r="F84" i="5" s="1"/>
  <c r="C84" i="5"/>
  <c r="B84" i="5"/>
  <c r="D83" i="5"/>
  <c r="F83" i="5" s="1"/>
  <c r="C83" i="5"/>
  <c r="B83" i="5"/>
  <c r="D82" i="5"/>
  <c r="F82" i="5" s="1"/>
  <c r="C82" i="5"/>
  <c r="B82" i="5"/>
  <c r="D81" i="5"/>
  <c r="F81" i="5" s="1"/>
  <c r="C81" i="5"/>
  <c r="B81" i="5"/>
  <c r="D80" i="5"/>
  <c r="F80" i="5" s="1"/>
  <c r="C80" i="5"/>
  <c r="B80" i="5"/>
  <c r="D79" i="5"/>
  <c r="F79" i="5" s="1"/>
  <c r="C79" i="5"/>
  <c r="B79" i="5"/>
  <c r="D78" i="5"/>
  <c r="F78" i="5" s="1"/>
  <c r="C78" i="5"/>
  <c r="B78" i="5"/>
  <c r="D77" i="5"/>
  <c r="F77" i="5" s="1"/>
  <c r="C77" i="5"/>
  <c r="B77" i="5"/>
  <c r="D76" i="5"/>
  <c r="F76" i="5" s="1"/>
  <c r="C76" i="5"/>
  <c r="B76" i="5"/>
  <c r="D75" i="5"/>
  <c r="F75" i="5" s="1"/>
  <c r="C75" i="5"/>
  <c r="B75" i="5"/>
  <c r="D74" i="5"/>
  <c r="F74" i="5" s="1"/>
  <c r="C74" i="5"/>
  <c r="B74" i="5"/>
  <c r="D73" i="5"/>
  <c r="F73" i="5" s="1"/>
  <c r="C73" i="5"/>
  <c r="B73" i="5"/>
  <c r="D72" i="5"/>
  <c r="F72" i="5" s="1"/>
  <c r="C72" i="5"/>
  <c r="B72" i="5"/>
  <c r="D71" i="5"/>
  <c r="F71" i="5" s="1"/>
  <c r="C71" i="5"/>
  <c r="B71" i="5"/>
  <c r="D70" i="5"/>
  <c r="F70" i="5" s="1"/>
  <c r="C70" i="5"/>
  <c r="B70" i="5"/>
  <c r="D69" i="5"/>
  <c r="F69" i="5" s="1"/>
  <c r="C69" i="5"/>
  <c r="B69" i="5"/>
  <c r="D68" i="5"/>
  <c r="F68" i="5" s="1"/>
  <c r="C68" i="5"/>
  <c r="B68" i="5"/>
  <c r="D67" i="5"/>
  <c r="F67" i="5" s="1"/>
  <c r="C67" i="5"/>
  <c r="B67" i="5"/>
  <c r="D66" i="5"/>
  <c r="F66" i="5" s="1"/>
  <c r="C66" i="5"/>
  <c r="B66" i="5"/>
  <c r="D65" i="5"/>
  <c r="F65" i="5" s="1"/>
  <c r="C65" i="5"/>
  <c r="B65" i="5"/>
  <c r="D64" i="5"/>
  <c r="F64" i="5" s="1"/>
  <c r="C64" i="5"/>
  <c r="B64" i="5"/>
  <c r="D63" i="5"/>
  <c r="F63" i="5" s="1"/>
  <c r="C63" i="5"/>
  <c r="B63" i="5"/>
  <c r="D62" i="5"/>
  <c r="F62" i="5" s="1"/>
  <c r="C62" i="5"/>
  <c r="B62" i="5"/>
  <c r="D61" i="5"/>
  <c r="F61" i="5" s="1"/>
  <c r="C61" i="5"/>
  <c r="B61" i="5"/>
  <c r="D60" i="5"/>
  <c r="F60" i="5" s="1"/>
  <c r="C60" i="5"/>
  <c r="B60" i="5"/>
  <c r="D59" i="5"/>
  <c r="F59" i="5" s="1"/>
  <c r="C59" i="5"/>
  <c r="B59" i="5"/>
  <c r="D58" i="5"/>
  <c r="F58" i="5" s="1"/>
  <c r="C58" i="5"/>
  <c r="B58" i="5"/>
  <c r="D57" i="5"/>
  <c r="F57" i="5" s="1"/>
  <c r="C57" i="5"/>
  <c r="B57" i="5"/>
  <c r="D56" i="5"/>
  <c r="F56" i="5" s="1"/>
  <c r="C56" i="5"/>
  <c r="B56" i="5"/>
  <c r="D55" i="5"/>
  <c r="F55" i="5" s="1"/>
  <c r="C55" i="5"/>
  <c r="B55" i="5"/>
  <c r="D54" i="5"/>
  <c r="F54" i="5" s="1"/>
  <c r="C54" i="5"/>
  <c r="B54" i="5"/>
  <c r="D53" i="5"/>
  <c r="F53" i="5" s="1"/>
  <c r="C53" i="5"/>
  <c r="B53" i="5"/>
  <c r="D52" i="5"/>
  <c r="F52" i="5" s="1"/>
  <c r="C52" i="5"/>
  <c r="B52" i="5"/>
  <c r="D51" i="5"/>
  <c r="F51" i="5" s="1"/>
  <c r="C51" i="5"/>
  <c r="B51" i="5"/>
  <c r="D50" i="5"/>
  <c r="F50" i="5" s="1"/>
  <c r="C50" i="5"/>
  <c r="B50" i="5"/>
  <c r="D49" i="5"/>
  <c r="F49" i="5" s="1"/>
  <c r="C49" i="5"/>
  <c r="B49" i="5"/>
  <c r="D48" i="5"/>
  <c r="F48" i="5" s="1"/>
  <c r="C48" i="5"/>
  <c r="B48" i="5"/>
  <c r="D47" i="5"/>
  <c r="F47" i="5" s="1"/>
  <c r="C47" i="5"/>
  <c r="B47" i="5"/>
  <c r="D46" i="5"/>
  <c r="F46" i="5" s="1"/>
  <c r="C46" i="5"/>
  <c r="B46" i="5"/>
  <c r="D45" i="5"/>
  <c r="F45" i="5" s="1"/>
  <c r="C45" i="5"/>
  <c r="B45" i="5"/>
  <c r="D44" i="5"/>
  <c r="F44" i="5" s="1"/>
  <c r="C44" i="5"/>
  <c r="B44" i="5"/>
  <c r="D43" i="5"/>
  <c r="F43" i="5" s="1"/>
  <c r="C43" i="5"/>
  <c r="B43" i="5"/>
  <c r="D42" i="5"/>
  <c r="F42" i="5" s="1"/>
  <c r="C42" i="5"/>
  <c r="B42" i="5"/>
  <c r="D41" i="5"/>
  <c r="F41" i="5" s="1"/>
  <c r="C41" i="5"/>
  <c r="B41" i="5"/>
  <c r="D40" i="5"/>
  <c r="F40" i="5" s="1"/>
  <c r="C40" i="5"/>
  <c r="B40" i="5"/>
  <c r="D39" i="5"/>
  <c r="F39" i="5" s="1"/>
  <c r="C39" i="5"/>
  <c r="B39" i="5"/>
  <c r="D38" i="5"/>
  <c r="F38" i="5" s="1"/>
  <c r="C38" i="5"/>
  <c r="B38" i="5"/>
  <c r="D37" i="5"/>
  <c r="F37" i="5" s="1"/>
  <c r="C37" i="5"/>
  <c r="B37" i="5"/>
  <c r="D36" i="5"/>
  <c r="F36" i="5" s="1"/>
  <c r="C36" i="5"/>
  <c r="B36" i="5"/>
  <c r="D35" i="5"/>
  <c r="F35" i="5" s="1"/>
  <c r="C35" i="5"/>
  <c r="B35" i="5"/>
  <c r="D34" i="5"/>
  <c r="F34" i="5" s="1"/>
  <c r="C34" i="5"/>
  <c r="B34" i="5"/>
  <c r="D33" i="5"/>
  <c r="F33" i="5" s="1"/>
  <c r="C33" i="5"/>
  <c r="B33" i="5"/>
  <c r="D32" i="5"/>
  <c r="F32" i="5" s="1"/>
  <c r="C32" i="5"/>
  <c r="B32" i="5"/>
  <c r="D31" i="5"/>
  <c r="F31" i="5" s="1"/>
  <c r="C31" i="5"/>
  <c r="B31" i="5"/>
  <c r="D30" i="5"/>
  <c r="F30" i="5" s="1"/>
  <c r="C30" i="5"/>
  <c r="B30" i="5"/>
  <c r="D29" i="5"/>
  <c r="F29" i="5" s="1"/>
  <c r="C29" i="5"/>
  <c r="B29" i="5"/>
  <c r="D28" i="5"/>
  <c r="F28" i="5" s="1"/>
  <c r="C28" i="5"/>
  <c r="B28" i="5"/>
  <c r="D27" i="5"/>
  <c r="F27" i="5" s="1"/>
  <c r="C27" i="5"/>
  <c r="B27" i="5"/>
  <c r="D26" i="5"/>
  <c r="F26" i="5" s="1"/>
  <c r="C26" i="5"/>
  <c r="B26" i="5"/>
  <c r="D25" i="5"/>
  <c r="F25" i="5" s="1"/>
  <c r="C25" i="5"/>
  <c r="B25" i="5"/>
  <c r="D24" i="5"/>
  <c r="F24" i="5" s="1"/>
  <c r="C24" i="5"/>
  <c r="B24" i="5"/>
  <c r="D23" i="5"/>
  <c r="F23" i="5" s="1"/>
  <c r="C23" i="5"/>
  <c r="B23" i="5"/>
  <c r="D22" i="5"/>
  <c r="F22" i="5" s="1"/>
  <c r="C22" i="5"/>
  <c r="B22" i="5"/>
  <c r="D21" i="5"/>
  <c r="F21" i="5" s="1"/>
  <c r="C21" i="5"/>
  <c r="B21" i="5"/>
  <c r="D20" i="5"/>
  <c r="F20" i="5" s="1"/>
  <c r="C20" i="5"/>
  <c r="B20" i="5"/>
  <c r="D19" i="5"/>
  <c r="F19" i="5" s="1"/>
  <c r="C19" i="5"/>
  <c r="B19" i="5"/>
  <c r="D18" i="5"/>
  <c r="F18" i="5" s="1"/>
  <c r="C18" i="5"/>
  <c r="B18" i="5"/>
  <c r="D17" i="5"/>
  <c r="F17" i="5" s="1"/>
  <c r="C17" i="5"/>
  <c r="B17" i="5"/>
  <c r="D16" i="5"/>
  <c r="F16" i="5" s="1"/>
  <c r="C16" i="5"/>
  <c r="B16" i="5"/>
  <c r="D15" i="5"/>
  <c r="F15" i="5" s="1"/>
  <c r="C15" i="5"/>
  <c r="B15" i="5"/>
  <c r="D14" i="5"/>
  <c r="F14" i="5" s="1"/>
  <c r="C14" i="5"/>
  <c r="B14" i="5"/>
  <c r="D13" i="5"/>
  <c r="F13" i="5" s="1"/>
  <c r="C13" i="5"/>
  <c r="B13" i="5"/>
  <c r="D12" i="5"/>
  <c r="F12" i="5" s="1"/>
  <c r="C12" i="5"/>
  <c r="B12" i="5"/>
  <c r="D11" i="5"/>
  <c r="F11" i="5" s="1"/>
  <c r="C11" i="5"/>
  <c r="B11" i="5"/>
  <c r="D10" i="5"/>
  <c r="F10" i="5" s="1"/>
  <c r="C10" i="5"/>
  <c r="B10" i="5"/>
  <c r="D9" i="5"/>
  <c r="F9" i="5" s="1"/>
  <c r="C9" i="5"/>
  <c r="B9" i="5"/>
  <c r="D8" i="5"/>
  <c r="F8" i="5" s="1"/>
  <c r="C8" i="5"/>
  <c r="B8" i="5"/>
  <c r="B20" i="6"/>
  <c r="C20" i="6"/>
  <c r="D20" i="6"/>
  <c r="F20" i="6" s="1"/>
  <c r="B21" i="6"/>
  <c r="C21" i="6"/>
  <c r="D21" i="6"/>
  <c r="F21" i="6"/>
  <c r="B22" i="6"/>
  <c r="C22" i="6"/>
  <c r="D22" i="6"/>
  <c r="F22" i="6"/>
  <c r="B23" i="6"/>
  <c r="C23" i="6"/>
  <c r="D23" i="6"/>
  <c r="F23" i="6" s="1"/>
  <c r="B24" i="6"/>
  <c r="C24" i="6"/>
  <c r="D24" i="6"/>
  <c r="F24" i="6"/>
  <c r="B25" i="6"/>
  <c r="C25" i="6"/>
  <c r="D25" i="6"/>
  <c r="F25" i="6"/>
  <c r="B26" i="6"/>
  <c r="C26" i="6"/>
  <c r="D26" i="6"/>
  <c r="F26" i="6"/>
  <c r="B27" i="6"/>
  <c r="C27" i="6"/>
  <c r="D27" i="6"/>
  <c r="F27" i="6" s="1"/>
  <c r="B28" i="6"/>
  <c r="C28" i="6"/>
  <c r="D28" i="6"/>
  <c r="F28" i="6"/>
  <c r="B29" i="6"/>
  <c r="C29" i="6"/>
  <c r="D29" i="6"/>
  <c r="F29" i="6"/>
  <c r="B30" i="6"/>
  <c r="C30" i="6"/>
  <c r="D30" i="6"/>
  <c r="F30" i="6" s="1"/>
  <c r="B31" i="6"/>
  <c r="C31" i="6"/>
  <c r="D31" i="6"/>
  <c r="F31" i="6"/>
  <c r="B32" i="6"/>
  <c r="C32" i="6"/>
  <c r="D32" i="6"/>
  <c r="F32" i="6" s="1"/>
  <c r="B33" i="6"/>
  <c r="C33" i="6"/>
  <c r="D33" i="6"/>
  <c r="F33" i="6"/>
  <c r="B34" i="6"/>
  <c r="C34" i="6"/>
  <c r="D34" i="6"/>
  <c r="F34" i="6"/>
  <c r="B35" i="6"/>
  <c r="C35" i="6"/>
  <c r="D35" i="6"/>
  <c r="F35" i="6"/>
  <c r="B36" i="6"/>
  <c r="C36" i="6"/>
  <c r="D36" i="6"/>
  <c r="F36" i="6"/>
  <c r="B37" i="6"/>
  <c r="C37" i="6"/>
  <c r="D37" i="6"/>
  <c r="F37" i="6"/>
  <c r="B38" i="6"/>
  <c r="C38" i="6"/>
  <c r="D38" i="6"/>
  <c r="F38" i="6"/>
  <c r="B39" i="6"/>
  <c r="C39" i="6"/>
  <c r="D39" i="6"/>
  <c r="F39" i="6"/>
  <c r="B40" i="6"/>
  <c r="C40" i="6"/>
  <c r="D40" i="6"/>
  <c r="F40" i="6"/>
  <c r="B41" i="6"/>
  <c r="C41" i="6"/>
  <c r="D41" i="6"/>
  <c r="F41" i="6"/>
  <c r="B42" i="6"/>
  <c r="C42" i="6"/>
  <c r="D42" i="6"/>
  <c r="F42" i="6"/>
  <c r="B43" i="6"/>
  <c r="C43" i="6"/>
  <c r="D43" i="6"/>
  <c r="F43" i="6"/>
  <c r="B44" i="6"/>
  <c r="C44" i="6"/>
  <c r="D44" i="6"/>
  <c r="F44" i="6"/>
  <c r="B45" i="6"/>
  <c r="C45" i="6"/>
  <c r="D45" i="6"/>
  <c r="F45" i="6"/>
  <c r="B46" i="6"/>
  <c r="C46" i="6"/>
  <c r="D46" i="6"/>
  <c r="F46" i="6"/>
  <c r="B47" i="6"/>
  <c r="C47" i="6"/>
  <c r="D47" i="6"/>
  <c r="F47" i="6"/>
  <c r="B48" i="6"/>
  <c r="C48" i="6"/>
  <c r="D48" i="6"/>
  <c r="F48" i="6"/>
  <c r="B49" i="6"/>
  <c r="C49" i="6"/>
  <c r="D49" i="6"/>
  <c r="F49" i="6"/>
  <c r="B50" i="6"/>
  <c r="C50" i="6"/>
  <c r="D50" i="6"/>
  <c r="F50" i="6"/>
  <c r="B51" i="6"/>
  <c r="C51" i="6"/>
  <c r="D51" i="6"/>
  <c r="F51" i="6"/>
  <c r="B52" i="6"/>
  <c r="C52" i="6"/>
  <c r="D52" i="6"/>
  <c r="F52" i="6"/>
  <c r="B53" i="6"/>
  <c r="C53" i="6"/>
  <c r="D53" i="6"/>
  <c r="F53" i="6"/>
  <c r="B54" i="6"/>
  <c r="C54" i="6"/>
  <c r="D54" i="6"/>
  <c r="F54" i="6"/>
  <c r="B55" i="6"/>
  <c r="C55" i="6"/>
  <c r="D55" i="6"/>
  <c r="F55" i="6"/>
  <c r="B56" i="6"/>
  <c r="C56" i="6"/>
  <c r="D56" i="6"/>
  <c r="F56" i="6"/>
  <c r="B57" i="6"/>
  <c r="C57" i="6"/>
  <c r="D57" i="6"/>
  <c r="F57" i="6"/>
  <c r="B58" i="6"/>
  <c r="C58" i="6"/>
  <c r="D58" i="6"/>
  <c r="F58" i="6"/>
  <c r="B59" i="6"/>
  <c r="C59" i="6"/>
  <c r="D59" i="6"/>
  <c r="F59" i="6"/>
  <c r="B60" i="6"/>
  <c r="C60" i="6"/>
  <c r="D60" i="6"/>
  <c r="F60" i="6"/>
  <c r="B61" i="6"/>
  <c r="C61" i="6"/>
  <c r="D61" i="6"/>
  <c r="F61" i="6"/>
  <c r="B62" i="6"/>
  <c r="C62" i="6"/>
  <c r="D62" i="6"/>
  <c r="F62" i="6"/>
  <c r="B63" i="6"/>
  <c r="C63" i="6"/>
  <c r="D63" i="6"/>
  <c r="F63" i="6"/>
  <c r="B64" i="6"/>
  <c r="C64" i="6"/>
  <c r="D64" i="6"/>
  <c r="F64" i="6"/>
  <c r="B65" i="6"/>
  <c r="C65" i="6"/>
  <c r="D65" i="6"/>
  <c r="F65" i="6"/>
  <c r="B66" i="6"/>
  <c r="C66" i="6"/>
  <c r="D66" i="6"/>
  <c r="F66" i="6"/>
  <c r="B67" i="6"/>
  <c r="C67" i="6"/>
  <c r="D67" i="6"/>
  <c r="F67" i="6"/>
  <c r="B68" i="6"/>
  <c r="C68" i="6"/>
  <c r="D68" i="6"/>
  <c r="F68" i="6"/>
  <c r="B69" i="6"/>
  <c r="C69" i="6"/>
  <c r="D69" i="6"/>
  <c r="F69" i="6"/>
  <c r="B70" i="6"/>
  <c r="C70" i="6"/>
  <c r="D70" i="6"/>
  <c r="F70" i="6"/>
  <c r="B71" i="6"/>
  <c r="C71" i="6"/>
  <c r="D71" i="6"/>
  <c r="F71" i="6"/>
  <c r="B72" i="6"/>
  <c r="C72" i="6"/>
  <c r="D72" i="6"/>
  <c r="F72" i="6"/>
  <c r="B73" i="6"/>
  <c r="C73" i="6"/>
  <c r="D73" i="6"/>
  <c r="F73" i="6"/>
  <c r="B74" i="6"/>
  <c r="C74" i="6"/>
  <c r="D74" i="6"/>
  <c r="F74" i="6"/>
  <c r="B75" i="6"/>
  <c r="C75" i="6"/>
  <c r="D75" i="6"/>
  <c r="F75" i="6"/>
  <c r="B76" i="6"/>
  <c r="C76" i="6"/>
  <c r="D76" i="6"/>
  <c r="F76" i="6"/>
  <c r="B77" i="6"/>
  <c r="C77" i="6"/>
  <c r="D77" i="6"/>
  <c r="F77" i="6"/>
  <c r="B78" i="6"/>
  <c r="C78" i="6"/>
  <c r="D78" i="6"/>
  <c r="F78" i="6"/>
  <c r="B79" i="6"/>
  <c r="C79" i="6"/>
  <c r="D79" i="6"/>
  <c r="F79" i="6"/>
  <c r="B80" i="6"/>
  <c r="C80" i="6"/>
  <c r="D80" i="6"/>
  <c r="F80" i="6"/>
  <c r="B81" i="6"/>
  <c r="C81" i="6"/>
  <c r="D81" i="6"/>
  <c r="F81" i="6"/>
  <c r="B82" i="6"/>
  <c r="C82" i="6"/>
  <c r="D82" i="6"/>
  <c r="F82" i="6"/>
  <c r="B83" i="6"/>
  <c r="C83" i="6"/>
  <c r="D83" i="6"/>
  <c r="F83" i="6"/>
  <c r="B84" i="6"/>
  <c r="C84" i="6"/>
  <c r="D84" i="6"/>
  <c r="F84" i="6"/>
  <c r="B85" i="6"/>
  <c r="C85" i="6"/>
  <c r="D85" i="6"/>
  <c r="F85" i="6"/>
  <c r="B86" i="6"/>
  <c r="C86" i="6"/>
  <c r="D86" i="6"/>
  <c r="F86" i="6"/>
  <c r="B87" i="6"/>
  <c r="C87" i="6"/>
  <c r="D87" i="6"/>
  <c r="F87" i="6"/>
  <c r="B88" i="6"/>
  <c r="C88" i="6"/>
  <c r="D88" i="6"/>
  <c r="F88" i="6"/>
  <c r="B89" i="6"/>
  <c r="C89" i="6"/>
  <c r="D89" i="6"/>
  <c r="F89" i="6"/>
  <c r="B90" i="6"/>
  <c r="C90" i="6"/>
  <c r="D90" i="6"/>
  <c r="F90" i="6"/>
  <c r="B91" i="6"/>
  <c r="C91" i="6"/>
  <c r="D91" i="6"/>
  <c r="F91" i="6"/>
  <c r="B92" i="6"/>
  <c r="C92" i="6"/>
  <c r="D92" i="6"/>
  <c r="F92" i="6"/>
  <c r="B93" i="6"/>
  <c r="C93" i="6"/>
  <c r="D93" i="6"/>
  <c r="F93" i="6"/>
  <c r="B94" i="6"/>
  <c r="C94" i="6"/>
  <c r="D94" i="6"/>
  <c r="F94" i="6"/>
  <c r="B95" i="6"/>
  <c r="C95" i="6"/>
  <c r="D95" i="6"/>
  <c r="F95" i="6"/>
  <c r="B96" i="6"/>
  <c r="C96" i="6"/>
  <c r="D96" i="6"/>
  <c r="F96" i="6"/>
  <c r="B97" i="6"/>
  <c r="C97" i="6"/>
  <c r="D97" i="6"/>
  <c r="F97" i="6"/>
  <c r="B98" i="6"/>
  <c r="C98" i="6"/>
  <c r="D98" i="6"/>
  <c r="F98" i="6"/>
  <c r="B99" i="6"/>
  <c r="C99" i="6"/>
  <c r="D99" i="6"/>
  <c r="F99" i="6"/>
  <c r="B9" i="6"/>
  <c r="C9" i="6"/>
  <c r="D9" i="6"/>
  <c r="F9" i="6"/>
  <c r="B10" i="6"/>
  <c r="C10" i="6"/>
  <c r="D10" i="6"/>
  <c r="F10" i="6" s="1"/>
  <c r="B11" i="6"/>
  <c r="C11" i="6"/>
  <c r="D11" i="6"/>
  <c r="F11" i="6"/>
  <c r="B12" i="6"/>
  <c r="C12" i="6"/>
  <c r="D12" i="6"/>
  <c r="F12" i="6"/>
  <c r="B13" i="6"/>
  <c r="C13" i="6"/>
  <c r="D13" i="6"/>
  <c r="F13" i="6"/>
  <c r="B14" i="6"/>
  <c r="C14" i="6"/>
  <c r="D14" i="6"/>
  <c r="F14" i="6"/>
  <c r="B15" i="6"/>
  <c r="C15" i="6"/>
  <c r="D15" i="6"/>
  <c r="F15" i="6" s="1"/>
  <c r="B16" i="6"/>
  <c r="C16" i="6"/>
  <c r="D16" i="6"/>
  <c r="F16" i="6"/>
  <c r="B17" i="6"/>
  <c r="C17" i="6"/>
  <c r="D17" i="6"/>
  <c r="F17" i="6" s="1"/>
  <c r="B18" i="6"/>
  <c r="C18" i="6"/>
  <c r="D18" i="6"/>
  <c r="F18" i="6"/>
  <c r="B19" i="6"/>
  <c r="C19" i="6"/>
  <c r="D19" i="6"/>
  <c r="F19" i="6"/>
  <c r="D8" i="6"/>
  <c r="F8" i="6" s="1"/>
  <c r="C8" i="6"/>
  <c r="B8" i="6"/>
  <c r="E4" i="9"/>
  <c r="E4" i="10"/>
  <c r="C1" i="10" l="1"/>
  <c r="C3" i="10" s="1"/>
  <c r="C1" i="6"/>
  <c r="C3" i="6" s="1"/>
  <c r="C1" i="7"/>
  <c r="C3" i="7" s="1"/>
  <c r="C1" i="8"/>
  <c r="C3" i="8" s="1"/>
  <c r="C1" i="9"/>
  <c r="C3" i="9" s="1"/>
  <c r="C1" i="5"/>
  <c r="C3" i="5" s="1"/>
</calcChain>
</file>

<file path=xl/sharedStrings.xml><?xml version="1.0" encoding="utf-8"?>
<sst xmlns="http://schemas.openxmlformats.org/spreadsheetml/2006/main" count="192" uniqueCount="116">
  <si>
    <t>StarC Specialty Coffee — Billing System</t>
  </si>
  <si>
    <t>Advanced POS &amp; Invoice Generator — INV-2026-001</t>
  </si>
  <si>
    <t>Invoice No:</t>
  </si>
  <si>
    <t>INV-2026-001</t>
  </si>
  <si>
    <t>Date:</t>
  </si>
  <si>
    <t>Table No:</t>
  </si>
  <si>
    <t>Cashier:</t>
  </si>
  <si>
    <t>Staff Member 1</t>
  </si>
  <si>
    <t>Item ID</t>
  </si>
  <si>
    <t>English Name</t>
  </si>
  <si>
    <t>Arabic Name</t>
  </si>
  <si>
    <t>Unit Price</t>
  </si>
  <si>
    <t>Quantity</t>
  </si>
  <si>
    <t>Total</t>
  </si>
  <si>
    <t>Subtotal:</t>
  </si>
  <si>
    <t>Service / Tax (0%):</t>
  </si>
  <si>
    <t>Grand Total:</t>
  </si>
  <si>
    <t>Advanced POS &amp; Invoice Generator — INV-2026-002</t>
  </si>
  <si>
    <t>INV-2026-002</t>
  </si>
  <si>
    <t>Staff Member 2</t>
  </si>
  <si>
    <t>Advanced POS &amp; Invoice Generator — INV-2026-003</t>
  </si>
  <si>
    <t>INV-2026-003</t>
  </si>
  <si>
    <t>Advanced POS &amp; Invoice Generator — INV-2026-004</t>
  </si>
  <si>
    <t>INV-2026-004</t>
  </si>
  <si>
    <t>Staff Member 3</t>
  </si>
  <si>
    <t>Advanced POS &amp; Invoice Generator — INV-2026-005</t>
  </si>
  <si>
    <t>INV-2026-005</t>
  </si>
  <si>
    <t>Advanced POS &amp; Invoice Generator — INV-2026-006</t>
  </si>
  <si>
    <t>INV-2026-006</t>
  </si>
  <si>
    <t>Staff Member 4</t>
  </si>
  <si>
    <t>ID</t>
  </si>
  <si>
    <t>Price</t>
  </si>
  <si>
    <t>The Velvet Espresso</t>
  </si>
  <si>
    <t>الإسبريسو المحمّلي</t>
  </si>
  <si>
    <t>Espresso Doppio</t>
  </si>
  <si>
    <t>إسبريسو دوبل (مزدوج)</t>
  </si>
  <si>
    <t>Classic Americano</t>
  </si>
  <si>
    <t>أمريكانو كلاسيك</t>
  </si>
  <si>
    <t>Caffè Crema</t>
  </si>
  <si>
    <t>كافيه كريما</t>
  </si>
  <si>
    <t>Signature Caffè Latte</t>
  </si>
  <si>
    <t>كافيه لاتيه المتميز</t>
  </si>
  <si>
    <t>The StarC Cappuccino</t>
  </si>
  <si>
    <t>كابتشينو ستار سي</t>
  </si>
  <si>
    <t>Ristretto</t>
  </si>
  <si>
    <t>ريستريتو</t>
  </si>
  <si>
    <t>The StarC Batch Brew</t>
  </si>
  <si>
    <t>قهوه ستار سي المقطره (باتش بريو)</t>
  </si>
  <si>
    <t>The StarC 1L Pot</t>
  </si>
  <si>
    <t>إبريق ستار سي (1 ليتر)</t>
  </si>
  <si>
    <t>Clouds of Cocoa (Artisan Hot Chocolate)</t>
  </si>
  <si>
    <t>الشوكولاتة الساخنة الفاخرة</t>
  </si>
  <si>
    <t>The Frost-Crown Cold Foam Latte</t>
  </si>
  <si>
    <t>لاتيه الرعوه البارده (التاج الثلجي)</t>
  </si>
  <si>
    <t>Silk-Road Iced Latte</t>
  </si>
  <si>
    <t>آيس لاتيه طريق الحرير</t>
  </si>
  <si>
    <t>Arctic Iced Americano</t>
  </si>
  <si>
    <t>آيس أمريكانو القطب الشمالي</t>
  </si>
  <si>
    <t>Shaken Iced Espresso</t>
  </si>
  <si>
    <t>آيس إسبريسوه مخفوق</t>
  </si>
  <si>
    <t>Iced Cappuccino Cloud</t>
  </si>
  <si>
    <t>آيس كابتشينو الغيمة</t>
  </si>
  <si>
    <t>The Levantine Pearl (Authentic Turkish/Syrian Coffee)</t>
  </si>
  <si>
    <t>لؤلؤة الشام (القهوه التركية/السورية الأصيلة)</t>
  </si>
  <si>
    <t>Classic Italian Moka</t>
  </si>
  <si>
    <t>موكا إيطالي كلاسيكي</t>
  </si>
  <si>
    <t>Record ID</t>
  </si>
  <si>
    <t>Timestamp</t>
  </si>
  <si>
    <t>Invoice No</t>
  </si>
  <si>
    <t>Table No</t>
  </si>
  <si>
    <t>Date</t>
  </si>
  <si>
    <t>Staff Member</t>
  </si>
  <si>
    <t>Item Total</t>
  </si>
  <si>
    <t>StarC Advanced POS — VBA Automation Instructions</t>
  </si>
  <si>
    <t>To enable the 'SUBMIT / PAY' buttons to automatically record invoice details into the 'records' sheet:</t>
  </si>
  <si>
    <t>1. Press ALT + F11 in Excel to open the VBA Editor.</t>
  </si>
  <si>
    <t>2. Click Insert &gt; Module.</t>
  </si>
  <si>
    <t>3. Paste the VBA code provided below into the module window.</t>
  </si>
  <si>
    <t>4. Save your workbook as an Excel Macro-Enabled Workbook (.xlsm).</t>
  </si>
  <si>
    <t>5. Right-click each 'SUBMIT / PAY' button on the Invoice sheet, click 'Assign Macro', and link it to its respective Sub.</t>
  </si>
  <si>
    <t>Sub SubmitInvoice(invStartRow As Long, invNum As String)</t>
  </si>
  <si>
    <t xml:space="preserve">    Dim wsInv As Worksheet, wsRec As Worksheet</t>
  </si>
  <si>
    <t xml:space="preserve">    Dim nextRow As Long, i As Long</t>
  </si>
  <si>
    <t xml:space="preserve">    Dim tableNo As Variant, staffName As Variant, invDate As Variant</t>
  </si>
  <si>
    <t xml:space="preserve">    </t>
  </si>
  <si>
    <t xml:space="preserve">    Set wsInv = ThisWorkbook.Sheets("Invoice")</t>
  </si>
  <si>
    <t xml:space="preserve">    Set wsRec = ThisWorkbook.Sheets("records")</t>
  </si>
  <si>
    <t xml:space="preserve">    tableNo = wsInv.Cells(invStartRow + 3, 2).Value</t>
  </si>
  <si>
    <t xml:space="preserve">    invDate = wsInv.Cells(invStartRow + 2, 5).Value</t>
  </si>
  <si>
    <t xml:space="preserve">    staffName = wsInv.Cells(invStartRow + 3, 5).Value</t>
  </si>
  <si>
    <t xml:space="preserve">    For i = invStartRow + 6 To invStartRow + 10</t>
  </si>
  <si>
    <t xml:space="preserve">        If wsInv.Cells(i, 1).Value &lt;&gt; "" Then</t>
  </si>
  <si>
    <t xml:space="preserve">            nextRow = wsRec.Cells(wsRec.Rows.Count, "A").End(xlUp).Row + 1</t>
  </si>
  <si>
    <t xml:space="preserve">            wsRec.Cells(nextRow, 1).Value = nextRow - 1                    ' Record ID</t>
  </si>
  <si>
    <t xml:space="preserve">            wsRec.Cells(nextRow, 2).Value = Now                            ' Timestamp</t>
  </si>
  <si>
    <t xml:space="preserve">            wsRec.Cells(nextRow, 3).Value = invNum                         ' Invoice No</t>
  </si>
  <si>
    <t xml:space="preserve">            wsRec.Cells(nextRow, 4).Value = tableNo                        ' Table No</t>
  </si>
  <si>
    <t xml:space="preserve">            wsRec.Cells(nextRow, 5).Value = invDate                        ' Date</t>
  </si>
  <si>
    <t xml:space="preserve">            wsRec.Cells(nextRow, 6).Value = staffName                      ' Staff Member</t>
  </si>
  <si>
    <t xml:space="preserve">            wsRec.Cells(nextRow, 7).Value = wsInv.Cells(i, 1).Value        ' Item ID</t>
  </si>
  <si>
    <t xml:space="preserve">            wsRec.Cells(nextRow, 8).Value = wsInv.Cells(i, 2).Value        ' English Name</t>
  </si>
  <si>
    <t xml:space="preserve">            wsRec.Cells(nextRow, 9).Value = wsInv.Cells(i, 3).Value        ' Arabic Name</t>
  </si>
  <si>
    <t xml:space="preserve">            wsRec.Cells(nextRow, 10).Value = wsInv.Cells(i, 4).Value       ' Unit Price</t>
  </si>
  <si>
    <t xml:space="preserve">            wsRec.Cells(nextRow, 11).Value = wsInv.Cells(i, 5).Value      ' Quantity</t>
  </si>
  <si>
    <t xml:space="preserve">            wsRec.Cells(nextRow, 12).Value = wsInv.Cells(i, 6).Value      ' Total</t>
  </si>
  <si>
    <t xml:space="preserve">        End If</t>
  </si>
  <si>
    <t xml:space="preserve">    Next i</t>
  </si>
  <si>
    <t xml:space="preserve">    MsgBox "Invoice " &amp; invNum &amp; " successfully recorded to records!", vbInformation, "StarC POS"</t>
  </si>
  <si>
    <t>End Sub</t>
  </si>
  <si>
    <t>Sub Submit_INV1(): Call SubmitInvoice(1, "INV-2026-001"): End Sub</t>
  </si>
  <si>
    <t>Sub Submit_INV2(): Call SubmitInvoice(19, "INV-2026-002"): End Sub</t>
  </si>
  <si>
    <t>Sub Submit_INV3(): Call SubmitInvoice(37, "INV-2026-003"): End Sub</t>
  </si>
  <si>
    <t>Sub Submit_INV4(): Call SubmitInvoice(55, "INV-2026-004"): End Sub</t>
  </si>
  <si>
    <t>Sub Submit_INV5(): Call SubmitInvoice(73, "INV-2026-005"): End Sub</t>
  </si>
  <si>
    <t>Sub Submit_INV6(): Call SubmitInvoice(91, "INV-2026-006"): End Sub</t>
  </si>
  <si>
    <t>Hakam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</si>
</sst>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6"/>
      <color rgb="FF2F3640"/>
      <name val="Arial"/>
      <family val="2"/>
    </font>
    <font>
      <i/>
      <sz val="11"/>
      <color rgb="FF555555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b/>
      <sz val="11"/>
      <color rgb="FF008080"/>
      <name val="Arial"/>
      <family val="2"/>
    </font>
    <font>
      <sz val="9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2F3640"/>
        <bgColor rgb="FF2F364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medium">
        <color rgb="FF2F3640"/>
      </top>
      <bottom style="medium">
        <color rgb="FF2F364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4" fontId="3" fillId="0" borderId="2" xfId="0" applyNumberFormat="1" applyFont="1" applyBorder="1"/>
    <xf numFmtId="4" fontId="4" fillId="0" borderId="2" xfId="0" applyNumberFormat="1" applyFont="1" applyBorder="1"/>
    <xf numFmtId="4" fontId="6" fillId="0" borderId="1" xfId="0" applyNumberFormat="1" applyFont="1" applyBorder="1"/>
    <xf numFmtId="0" fontId="5" fillId="2" borderId="0" xfId="0" applyFont="1" applyFill="1" applyAlignment="1">
      <alignment horizontal="center" vertical="center"/>
    </xf>
    <xf numFmtId="0" fontId="7" fillId="0" borderId="0" xfId="0" applyFont="1"/>
    <xf numFmtId="22" fontId="0" fillId="0" borderId="0" xfId="0" applyNumberFormat="1"/>
    <xf numFmtId="0" fontId="0" fillId="0" borderId="0" xfId="0"/>
    <xf numFmtId="14" fontId="4" fillId="0" borderId="0" xfId="0" applyNumberFormat="1" applyFont="1" applyAlignment="1">
      <alignment horizontal="left"/>
    </xf>
    <xf numFmtId="0" fontId="4" fillId="3" borderId="2" xfId="0" applyFont="1" applyFill="1" applyBorder="1"/>
    <xf numFmtId="4" fontId="4" fillId="3" borderId="2" xfId="0" applyNumberFormat="1" applyFont="1" applyFill="1" applyBorder="1" applyAlignment="1">
      <alignment horizontal="right"/>
    </xf>
    <xf numFmtId="0" fontId="4" fillId="4" borderId="2" xfId="0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1162050</xdr:colOff>
      <xdr:row>1</xdr:row>
      <xdr:rowOff>0</xdr:rowOff>
    </xdr:from>
    <xdr:to>
      <xdr:col>5</xdr:col>
      <xdr:colOff>2247900</xdr:colOff>
      <xdr:row>3</xdr:row>
      <xdr:rowOff>57150</xdr:rowOff>
    </xdr:to>
    <xdr:sp macro="[0]!Submit_INV1" textlink="">
      <xdr:nvSpPr>
        <xdr:cNvPr id="4" name="Rectangle 3">
          <a:extLst>
            <a:ext uri="{FF2B5EF4-FFF2-40B4-BE49-F238E27FC236}">
              <a16:creationId xmlns:a16="http://schemas.microsoft.com/office/drawing/2014/main" id="{23C6450B-179D-4CD4-954C-14373CEBFD3C}"/>
            </a:ext>
          </a:extLst>
        </xdr:cNvPr>
        <xdr:cNvSpPr/>
      </xdr:nvSpPr>
      <xdr:spPr>
        <a:xfrm>
          <a:off x="12849225" y="257175"/>
          <a:ext cx="108585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 PAY    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1095375</xdr:colOff>
      <xdr:row>1</xdr:row>
      <xdr:rowOff>28575</xdr:rowOff>
    </xdr:from>
    <xdr:to>
      <xdr:col>5</xdr:col>
      <xdr:colOff>1905000</xdr:colOff>
      <xdr:row>3</xdr:row>
      <xdr:rowOff>9525</xdr:rowOff>
    </xdr:to>
    <xdr:sp macro="[0]!Submit_INV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8F6C060-6735-E153-CE73-0827817B569B}"/>
            </a:ext>
          </a:extLst>
        </xdr:cNvPr>
        <xdr:cNvSpPr/>
      </xdr:nvSpPr>
      <xdr:spPr>
        <a:xfrm>
          <a:off x="12782550" y="285750"/>
          <a:ext cx="809625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PAY</a:t>
          </a:r>
          <a:r>
            <a:rPr lang="en-GB" sz="1800" baseline="0"/>
            <a:t>  2</a:t>
          </a:r>
          <a:endParaRPr lang="en-GB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1095375</xdr:colOff>
      <xdr:row>0</xdr:row>
      <xdr:rowOff>200025</xdr:rowOff>
    </xdr:from>
    <xdr:to>
      <xdr:col>5</xdr:col>
      <xdr:colOff>2162175</xdr:colOff>
      <xdr:row>3</xdr:row>
      <xdr:rowOff>0</xdr:rowOff>
    </xdr:to>
    <xdr:sp macro="[0]!Submit_INV3" textlink="">
      <xdr:nvSpPr>
        <xdr:cNvPr id="2" name="Rectangle 1">
          <a:extLst>
            <a:ext uri="{FF2B5EF4-FFF2-40B4-BE49-F238E27FC236}">
              <a16:creationId xmlns:a16="http://schemas.microsoft.com/office/drawing/2014/main" id="{BC731D3A-B70C-4E22-A3FE-582469CCF3DC}"/>
            </a:ext>
          </a:extLst>
        </xdr:cNvPr>
        <xdr:cNvSpPr/>
      </xdr:nvSpPr>
      <xdr:spPr>
        <a:xfrm>
          <a:off x="12782550" y="200025"/>
          <a:ext cx="106680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PAY </a:t>
          </a:r>
          <a:r>
            <a:rPr lang="en-GB" sz="1800" b="1" baseline="0"/>
            <a:t>   3</a:t>
          </a:r>
          <a:endParaRPr lang="en-GB" sz="18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476250</xdr:colOff>
      <xdr:row>1</xdr:row>
      <xdr:rowOff>9525</xdr:rowOff>
    </xdr:from>
    <xdr:to>
      <xdr:col>5</xdr:col>
      <xdr:colOff>1428750</xdr:colOff>
      <xdr:row>3</xdr:row>
      <xdr:rowOff>0</xdr:rowOff>
    </xdr:to>
    <xdr:sp macro="[0]!Submit_INV4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874D4D-C5A4-6FB7-9D66-66439955E76B}"/>
            </a:ext>
          </a:extLst>
        </xdr:cNvPr>
        <xdr:cNvSpPr/>
      </xdr:nvSpPr>
      <xdr:spPr>
        <a:xfrm>
          <a:off x="12163425" y="266700"/>
          <a:ext cx="952500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PAY   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657224</xdr:colOff>
      <xdr:row>0</xdr:row>
      <xdr:rowOff>76200</xdr:rowOff>
    </xdr:from>
    <xdr:to>
      <xdr:col>5</xdr:col>
      <xdr:colOff>1676399</xdr:colOff>
      <xdr:row>2</xdr:row>
      <xdr:rowOff>0</xdr:rowOff>
    </xdr:to>
    <xdr:sp macro="[0]!Submit_INV5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507003A-7FAE-952F-7068-591FBA077689}"/>
            </a:ext>
          </a:extLst>
        </xdr:cNvPr>
        <xdr:cNvSpPr/>
      </xdr:nvSpPr>
      <xdr:spPr>
        <a:xfrm>
          <a:off x="12344399" y="76200"/>
          <a:ext cx="1019175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PAY    5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628650</xdr:colOff>
      <xdr:row>0</xdr:row>
      <xdr:rowOff>171450</xdr:rowOff>
    </xdr:from>
    <xdr:to>
      <xdr:col>5</xdr:col>
      <xdr:colOff>1666875</xdr:colOff>
      <xdr:row>2</xdr:row>
      <xdr:rowOff>95250</xdr:rowOff>
    </xdr:to>
    <xdr:sp macro="[0]!Submit_INV6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1C56221-D362-CBCE-77D8-C48FE91EE948}"/>
            </a:ext>
          </a:extLst>
        </xdr:cNvPr>
        <xdr:cNvSpPr/>
      </xdr:nvSpPr>
      <xdr:spPr>
        <a:xfrm>
          <a:off x="12315825" y="171450"/>
          <a:ext cx="1038225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PAY    6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60744-3AF1-412B-82D3-0FFB38DC8622}">
  <sheetPr codeName="Sheet1"/>
  <dimension ref="A1:F99"/>
  <sheetViews>
    <sheetView workbookViewId="0">
      <selection activeCell="E9" sqref="E9"/>
    </sheetView>
  </sheetViews>
  <sheetFormatPr defaultRowHeight="15" x14ac:dyDescent="0.25"/>
  <cols>
    <col min="1" max="1" width="60.140625" style="13" bestFit="1" customWidth="1"/>
    <col min="2" max="2" width="46" style="13" bestFit="1" customWidth="1"/>
    <col min="3" max="3" width="39.140625" style="13" customWidth="1"/>
    <col min="4" max="4" width="11" style="13" bestFit="1" customWidth="1"/>
    <col min="5" max="5" width="19" style="13" customWidth="1"/>
    <col min="6" max="6" width="36" style="13" customWidth="1"/>
    <col min="7" max="7" width="18" bestFit="1" customWidth="1"/>
    <col min="8" max="8" width="9" bestFit="1" customWidth="1"/>
  </cols>
  <sheetData>
    <row r="1" spans="1:6" ht="20.25" x14ac:dyDescent="0.3">
      <c r="A1" s="1" t="s">
        <v>0</v>
      </c>
      <c r="B1" s="6" t="s">
        <v>14</v>
      </c>
      <c r="C1" s="7">
        <f>SUM(F8:F99)</f>
        <v>0</v>
      </c>
      <c r="F1"/>
    </row>
    <row r="2" spans="1:6" ht="15.75" thickBot="1" x14ac:dyDescent="0.3">
      <c r="A2" s="2" t="s">
        <v>1</v>
      </c>
      <c r="B2" s="6" t="s">
        <v>15</v>
      </c>
      <c r="C2" s="8">
        <v>0</v>
      </c>
      <c r="F2"/>
    </row>
    <row r="3" spans="1:6" ht="15.75" thickBot="1" x14ac:dyDescent="0.3">
      <c r="B3" s="6"/>
      <c r="C3" s="9">
        <f>C1+C2</f>
        <v>0</v>
      </c>
    </row>
    <row r="4" spans="1:6" x14ac:dyDescent="0.25">
      <c r="A4" s="3" t="s">
        <v>2</v>
      </c>
      <c r="B4" s="4" t="s">
        <v>3</v>
      </c>
      <c r="D4" s="3" t="s">
        <v>4</v>
      </c>
      <c r="E4" s="14">
        <f ca="1">TODAY()</f>
        <v>46316</v>
      </c>
    </row>
    <row r="5" spans="1:6" x14ac:dyDescent="0.25">
      <c r="A5" s="3" t="s">
        <v>5</v>
      </c>
      <c r="B5" s="18">
        <v>1</v>
      </c>
      <c r="D5" s="3" t="s">
        <v>6</v>
      </c>
      <c r="E5" s="4" t="s">
        <v>115</v>
      </c>
    </row>
    <row r="6" spans="1:6" ht="15.75" thickBot="1" x14ac:dyDescent="0.3"/>
    <row r="7" spans="1:6" ht="15.75" thickBot="1" x14ac:dyDescent="0.3">
      <c r="A7" s="5" t="s">
        <v>8</v>
      </c>
      <c r="B7" s="5" t="s">
        <v>9</v>
      </c>
      <c r="C7" s="5" t="s">
        <v>10</v>
      </c>
      <c r="D7" s="5" t="s">
        <v>11</v>
      </c>
      <c r="E7" s="5" t="s">
        <v>12</v>
      </c>
      <c r="F7" s="5" t="s">
        <v>13</v>
      </c>
    </row>
    <row r="8" spans="1:6" x14ac:dyDescent="0.25">
      <c r="A8" s="17"/>
      <c r="B8" s="15" t="str">
        <f>IF(ISBLANK(A8), "", VLOOKUP(A8, Menu!$A$2:$D$18, 2, FALSE))</f>
        <v/>
      </c>
      <c r="C8" s="15" t="str">
        <f>IF(ISBLANK(A8), "", VLOOKUP(A8, Menu!$A$2:$D$18, 3, FALSE))</f>
        <v/>
      </c>
      <c r="D8" s="16" t="str">
        <f>IF(ISBLANK(A8), "", VLOOKUP(A8, Menu!$A$2:$D$18, 4, FALSE))</f>
        <v/>
      </c>
      <c r="E8" s="17"/>
      <c r="F8" s="16" t="str">
        <f>IF(ISBLANK(A8), "", D8*E8)</f>
        <v/>
      </c>
    </row>
    <row r="9" spans="1:6" x14ac:dyDescent="0.25">
      <c r="A9" s="17"/>
      <c r="B9" s="15" t="str">
        <f>IF(ISBLANK(A9), "", VLOOKUP(A9, Menu!$A$2:$D$18, 2, FALSE))</f>
        <v/>
      </c>
      <c r="C9" s="15" t="str">
        <f>IF(ISBLANK(A9), "", VLOOKUP(A9, Menu!$A$2:$D$18, 3, FALSE))</f>
        <v/>
      </c>
      <c r="D9" s="16" t="str">
        <f>IF(ISBLANK(A9), "", VLOOKUP(A9, Menu!$A$2:$D$18, 4, FALSE))</f>
        <v/>
      </c>
      <c r="E9" s="17"/>
      <c r="F9" s="16" t="str">
        <f t="shared" ref="F9:F19" si="0">IF(ISBLANK(A9), "", D9*E9)</f>
        <v/>
      </c>
    </row>
    <row r="10" spans="1:6" x14ac:dyDescent="0.25">
      <c r="A10" s="17"/>
      <c r="B10" s="15" t="str">
        <f>IF(ISBLANK(A10), "", VLOOKUP(A10, Menu!$A$2:$D$18, 2, FALSE))</f>
        <v/>
      </c>
      <c r="C10" s="15" t="str">
        <f>IF(ISBLANK(A10), "", VLOOKUP(A10, Menu!$A$2:$D$18, 3, FALSE))</f>
        <v/>
      </c>
      <c r="D10" s="16" t="str">
        <f>IF(ISBLANK(A10), "", VLOOKUP(A10, Menu!$A$2:$D$18, 4, FALSE))</f>
        <v/>
      </c>
      <c r="E10" s="17"/>
      <c r="F10" s="16" t="str">
        <f t="shared" si="0"/>
        <v/>
      </c>
    </row>
    <row r="11" spans="1:6" x14ac:dyDescent="0.25">
      <c r="A11" s="17"/>
      <c r="B11" s="15" t="str">
        <f>IF(ISBLANK(A11), "", VLOOKUP(A11, Menu!$A$2:$D$18, 2, FALSE))</f>
        <v/>
      </c>
      <c r="C11" s="15" t="str">
        <f>IF(ISBLANK(A11), "", VLOOKUP(A11, Menu!$A$2:$D$18, 3, FALSE))</f>
        <v/>
      </c>
      <c r="D11" s="16" t="str">
        <f>IF(ISBLANK(A11), "", VLOOKUP(A11, Menu!$A$2:$D$18, 4, FALSE))</f>
        <v/>
      </c>
      <c r="E11" s="17"/>
      <c r="F11" s="16" t="str">
        <f t="shared" si="0"/>
        <v/>
      </c>
    </row>
    <row r="12" spans="1:6" x14ac:dyDescent="0.25">
      <c r="A12" s="17"/>
      <c r="B12" s="15" t="str">
        <f>IF(ISBLANK(A12), "", VLOOKUP(A12, Menu!$A$2:$D$18, 2, FALSE))</f>
        <v/>
      </c>
      <c r="C12" s="15" t="str">
        <f>IF(ISBLANK(A12), "", VLOOKUP(A12, Menu!$A$2:$D$18, 3, FALSE))</f>
        <v/>
      </c>
      <c r="D12" s="16" t="str">
        <f>IF(ISBLANK(A12), "", VLOOKUP(A12, Menu!$A$2:$D$18, 4, FALSE))</f>
        <v/>
      </c>
      <c r="E12" s="17"/>
      <c r="F12" s="16" t="str">
        <f t="shared" si="0"/>
        <v/>
      </c>
    </row>
    <row r="13" spans="1:6" x14ac:dyDescent="0.25">
      <c r="A13" s="17"/>
      <c r="B13" s="15" t="str">
        <f>IF(ISBLANK(A13), "", VLOOKUP(A13, Menu!$A$2:$D$18, 2, FALSE))</f>
        <v/>
      </c>
      <c r="C13" s="15" t="str">
        <f>IF(ISBLANK(A13), "", VLOOKUP(A13, Menu!$A$2:$D$18, 3, FALSE))</f>
        <v/>
      </c>
      <c r="D13" s="16" t="str">
        <f>IF(ISBLANK(A13), "", VLOOKUP(A13, Menu!$A$2:$D$18, 4, FALSE))</f>
        <v/>
      </c>
      <c r="E13" s="17"/>
      <c r="F13" s="16" t="str">
        <f t="shared" si="0"/>
        <v/>
      </c>
    </row>
    <row r="14" spans="1:6" x14ac:dyDescent="0.25">
      <c r="A14" s="17"/>
      <c r="B14" s="15" t="str">
        <f>IF(ISBLANK(A14), "", VLOOKUP(A14, Menu!$A$2:$D$18, 2, FALSE))</f>
        <v/>
      </c>
      <c r="C14" s="15" t="str">
        <f>IF(ISBLANK(A14), "", VLOOKUP(A14, Menu!$A$2:$D$18, 3, FALSE))</f>
        <v/>
      </c>
      <c r="D14" s="16" t="str">
        <f>IF(ISBLANK(A14), "", VLOOKUP(A14, Menu!$A$2:$D$18, 4, FALSE))</f>
        <v/>
      </c>
      <c r="E14" s="17"/>
      <c r="F14" s="16" t="str">
        <f t="shared" si="0"/>
        <v/>
      </c>
    </row>
    <row r="15" spans="1:6" x14ac:dyDescent="0.25">
      <c r="A15" s="17"/>
      <c r="B15" s="15" t="str">
        <f>IF(ISBLANK(A15), "", VLOOKUP(A15, Menu!$A$2:$D$18, 2, FALSE))</f>
        <v/>
      </c>
      <c r="C15" s="15" t="str">
        <f>IF(ISBLANK(A15), "", VLOOKUP(A15, Menu!$A$2:$D$18, 3, FALSE))</f>
        <v/>
      </c>
      <c r="D15" s="16" t="str">
        <f>IF(ISBLANK(A15), "", VLOOKUP(A15, Menu!$A$2:$D$18, 4, FALSE))</f>
        <v/>
      </c>
      <c r="E15" s="17"/>
      <c r="F15" s="16" t="str">
        <f t="shared" si="0"/>
        <v/>
      </c>
    </row>
    <row r="16" spans="1:6" x14ac:dyDescent="0.25">
      <c r="A16" s="17"/>
      <c r="B16" s="15" t="str">
        <f>IF(ISBLANK(A16), "", VLOOKUP(A16, Menu!$A$2:$D$18, 2, FALSE))</f>
        <v/>
      </c>
      <c r="C16" s="15" t="str">
        <f>IF(ISBLANK(A16), "", VLOOKUP(A16, Menu!$A$2:$D$18, 3, FALSE))</f>
        <v/>
      </c>
      <c r="D16" s="16" t="str">
        <f>IF(ISBLANK(A16), "", VLOOKUP(A16, Menu!$A$2:$D$18, 4, FALSE))</f>
        <v/>
      </c>
      <c r="E16" s="17"/>
      <c r="F16" s="16" t="str">
        <f t="shared" si="0"/>
        <v/>
      </c>
    </row>
    <row r="17" spans="1:6" x14ac:dyDescent="0.25">
      <c r="A17" s="17"/>
      <c r="B17" s="15" t="str">
        <f>IF(ISBLANK(A17), "", VLOOKUP(A17, Menu!$A$2:$D$18, 2, FALSE))</f>
        <v/>
      </c>
      <c r="C17" s="15" t="str">
        <f>IF(ISBLANK(A17), "", VLOOKUP(A17, Menu!$A$2:$D$18, 3, FALSE))</f>
        <v/>
      </c>
      <c r="D17" s="16" t="str">
        <f>IF(ISBLANK(A17), "", VLOOKUP(A17, Menu!$A$2:$D$18, 4, FALSE))</f>
        <v/>
      </c>
      <c r="E17" s="17"/>
      <c r="F17" s="16" t="str">
        <f t="shared" si="0"/>
        <v/>
      </c>
    </row>
    <row r="18" spans="1:6" x14ac:dyDescent="0.25">
      <c r="A18" s="17"/>
      <c r="B18" s="15" t="str">
        <f>IF(ISBLANK(A18), "", VLOOKUP(A18, Menu!$A$2:$D$18, 2, FALSE))</f>
        <v/>
      </c>
      <c r="C18" s="15" t="str">
        <f>IF(ISBLANK(A18), "", VLOOKUP(A18, Menu!$A$2:$D$18, 3, FALSE))</f>
        <v/>
      </c>
      <c r="D18" s="16" t="str">
        <f>IF(ISBLANK(A18), "", VLOOKUP(A18, Menu!$A$2:$D$18, 4, FALSE))</f>
        <v/>
      </c>
      <c r="E18" s="17"/>
      <c r="F18" s="16" t="str">
        <f t="shared" si="0"/>
        <v/>
      </c>
    </row>
    <row r="19" spans="1:6" x14ac:dyDescent="0.25">
      <c r="A19" s="17"/>
      <c r="B19" s="15" t="str">
        <f>IF(ISBLANK(A19), "", VLOOKUP(A19, Menu!$A$2:$D$18, 2, FALSE))</f>
        <v/>
      </c>
      <c r="C19" s="15" t="str">
        <f>IF(ISBLANK(A19), "", VLOOKUP(A19, Menu!$A$2:$D$18, 3, FALSE))</f>
        <v/>
      </c>
      <c r="D19" s="16" t="str">
        <f>IF(ISBLANK(A19), "", VLOOKUP(A19, Menu!$A$2:$D$18, 4, FALSE))</f>
        <v/>
      </c>
      <c r="E19" s="17"/>
      <c r="F19" s="16" t="str">
        <f t="shared" si="0"/>
        <v/>
      </c>
    </row>
    <row r="20" spans="1:6" x14ac:dyDescent="0.25">
      <c r="A20" s="17"/>
      <c r="B20" s="15" t="str">
        <f>IF(ISBLANK(A20), "", VLOOKUP(A20, Menu!$A$2:$D$18, 2, FALSE))</f>
        <v/>
      </c>
      <c r="C20" s="15" t="str">
        <f>IF(ISBLANK(A20), "", VLOOKUP(A20, Menu!$A$2:$D$18, 3, FALSE))</f>
        <v/>
      </c>
      <c r="D20" s="16" t="str">
        <f>IF(ISBLANK(A20), "", VLOOKUP(A20, Menu!$A$2:$D$18, 4, FALSE))</f>
        <v/>
      </c>
      <c r="E20" s="17"/>
      <c r="F20" s="16" t="str">
        <f t="shared" ref="F20:F83" si="1">IF(ISBLANK(A20), "", D20*E20)</f>
        <v/>
      </c>
    </row>
    <row r="21" spans="1:6" x14ac:dyDescent="0.25">
      <c r="A21" s="17"/>
      <c r="B21" s="15" t="str">
        <f>IF(ISBLANK(A21), "", VLOOKUP(A21, Menu!$A$2:$D$18, 2, FALSE))</f>
        <v/>
      </c>
      <c r="C21" s="15" t="str">
        <f>IF(ISBLANK(A21), "", VLOOKUP(A21, Menu!$A$2:$D$18, 3, FALSE))</f>
        <v/>
      </c>
      <c r="D21" s="16" t="str">
        <f>IF(ISBLANK(A21), "", VLOOKUP(A21, Menu!$A$2:$D$18, 4, FALSE))</f>
        <v/>
      </c>
      <c r="E21" s="17"/>
      <c r="F21" s="16" t="str">
        <f t="shared" si="1"/>
        <v/>
      </c>
    </row>
    <row r="22" spans="1:6" x14ac:dyDescent="0.25">
      <c r="A22" s="17"/>
      <c r="B22" s="15" t="str">
        <f>IF(ISBLANK(A22), "", VLOOKUP(A22, Menu!$A$2:$D$18, 2, FALSE))</f>
        <v/>
      </c>
      <c r="C22" s="15" t="str">
        <f>IF(ISBLANK(A22), "", VLOOKUP(A22, Menu!$A$2:$D$18, 3, FALSE))</f>
        <v/>
      </c>
      <c r="D22" s="16" t="str">
        <f>IF(ISBLANK(A22), "", VLOOKUP(A22, Menu!$A$2:$D$18, 4, FALSE))</f>
        <v/>
      </c>
      <c r="E22" s="17"/>
      <c r="F22" s="16" t="str">
        <f t="shared" si="1"/>
        <v/>
      </c>
    </row>
    <row r="23" spans="1:6" x14ac:dyDescent="0.25">
      <c r="A23" s="17"/>
      <c r="B23" s="15" t="str">
        <f>IF(ISBLANK(A23), "", VLOOKUP(A23, Menu!$A$2:$D$18, 2, FALSE))</f>
        <v/>
      </c>
      <c r="C23" s="15" t="str">
        <f>IF(ISBLANK(A23), "", VLOOKUP(A23, Menu!$A$2:$D$18, 3, FALSE))</f>
        <v/>
      </c>
      <c r="D23" s="16" t="str">
        <f>IF(ISBLANK(A23), "", VLOOKUP(A23, Menu!$A$2:$D$18, 4, FALSE))</f>
        <v/>
      </c>
      <c r="E23" s="17"/>
      <c r="F23" s="16" t="str">
        <f t="shared" si="1"/>
        <v/>
      </c>
    </row>
    <row r="24" spans="1:6" x14ac:dyDescent="0.25">
      <c r="A24" s="17"/>
      <c r="B24" s="15" t="str">
        <f>IF(ISBLANK(A24), "", VLOOKUP(A24, Menu!$A$2:$D$18, 2, FALSE))</f>
        <v/>
      </c>
      <c r="C24" s="15" t="str">
        <f>IF(ISBLANK(A24), "", VLOOKUP(A24, Menu!$A$2:$D$18, 3, FALSE))</f>
        <v/>
      </c>
      <c r="D24" s="16" t="str">
        <f>IF(ISBLANK(A24), "", VLOOKUP(A24, Menu!$A$2:$D$18, 4, FALSE))</f>
        <v/>
      </c>
      <c r="E24" s="17"/>
      <c r="F24" s="16" t="str">
        <f t="shared" si="1"/>
        <v/>
      </c>
    </row>
    <row r="25" spans="1:6" x14ac:dyDescent="0.25">
      <c r="A25" s="17"/>
      <c r="B25" s="15" t="str">
        <f>IF(ISBLANK(A25), "", VLOOKUP(A25, Menu!$A$2:$D$18, 2, FALSE))</f>
        <v/>
      </c>
      <c r="C25" s="15" t="str">
        <f>IF(ISBLANK(A25), "", VLOOKUP(A25, Menu!$A$2:$D$18, 3, FALSE))</f>
        <v/>
      </c>
      <c r="D25" s="16" t="str">
        <f>IF(ISBLANK(A25), "", VLOOKUP(A25, Menu!$A$2:$D$18, 4, FALSE))</f>
        <v/>
      </c>
      <c r="E25" s="17"/>
      <c r="F25" s="16" t="str">
        <f t="shared" si="1"/>
        <v/>
      </c>
    </row>
    <row r="26" spans="1:6" x14ac:dyDescent="0.25">
      <c r="A26" s="17"/>
      <c r="B26" s="15" t="str">
        <f>IF(ISBLANK(A26), "", VLOOKUP(A26, Menu!$A$2:$D$18, 2, FALSE))</f>
        <v/>
      </c>
      <c r="C26" s="15" t="str">
        <f>IF(ISBLANK(A26), "", VLOOKUP(A26, Menu!$A$2:$D$18, 3, FALSE))</f>
        <v/>
      </c>
      <c r="D26" s="16" t="str">
        <f>IF(ISBLANK(A26), "", VLOOKUP(A26, Menu!$A$2:$D$18, 4, FALSE))</f>
        <v/>
      </c>
      <c r="E26" s="17"/>
      <c r="F26" s="16" t="str">
        <f t="shared" si="1"/>
        <v/>
      </c>
    </row>
    <row r="27" spans="1:6" x14ac:dyDescent="0.25">
      <c r="A27" s="17"/>
      <c r="B27" s="15" t="str">
        <f>IF(ISBLANK(A27), "", VLOOKUP(A27, Menu!$A$2:$D$18, 2, FALSE))</f>
        <v/>
      </c>
      <c r="C27" s="15" t="str">
        <f>IF(ISBLANK(A27), "", VLOOKUP(A27, Menu!$A$2:$D$18, 3, FALSE))</f>
        <v/>
      </c>
      <c r="D27" s="16" t="str">
        <f>IF(ISBLANK(A27), "", VLOOKUP(A27, Menu!$A$2:$D$18, 4, FALSE))</f>
        <v/>
      </c>
      <c r="E27" s="17"/>
      <c r="F27" s="16" t="str">
        <f t="shared" si="1"/>
        <v/>
      </c>
    </row>
    <row r="28" spans="1:6" x14ac:dyDescent="0.25">
      <c r="A28" s="17"/>
      <c r="B28" s="15" t="str">
        <f>IF(ISBLANK(A28), "", VLOOKUP(A28, Menu!$A$2:$D$18, 2, FALSE))</f>
        <v/>
      </c>
      <c r="C28" s="15" t="str">
        <f>IF(ISBLANK(A28), "", VLOOKUP(A28, Menu!$A$2:$D$18, 3, FALSE))</f>
        <v/>
      </c>
      <c r="D28" s="16" t="str">
        <f>IF(ISBLANK(A28), "", VLOOKUP(A28, Menu!$A$2:$D$18, 4, FALSE))</f>
        <v/>
      </c>
      <c r="E28" s="17"/>
      <c r="F28" s="16" t="str">
        <f t="shared" si="1"/>
        <v/>
      </c>
    </row>
    <row r="29" spans="1:6" x14ac:dyDescent="0.25">
      <c r="A29" s="17"/>
      <c r="B29" s="15" t="str">
        <f>IF(ISBLANK(A29), "", VLOOKUP(A29, Menu!$A$2:$D$18, 2, FALSE))</f>
        <v/>
      </c>
      <c r="C29" s="15" t="str">
        <f>IF(ISBLANK(A29), "", VLOOKUP(A29, Menu!$A$2:$D$18, 3, FALSE))</f>
        <v/>
      </c>
      <c r="D29" s="16" t="str">
        <f>IF(ISBLANK(A29), "", VLOOKUP(A29, Menu!$A$2:$D$18, 4, FALSE))</f>
        <v/>
      </c>
      <c r="E29" s="17"/>
      <c r="F29" s="16" t="str">
        <f t="shared" si="1"/>
        <v/>
      </c>
    </row>
    <row r="30" spans="1:6" x14ac:dyDescent="0.25">
      <c r="A30" s="17"/>
      <c r="B30" s="15" t="str">
        <f>IF(ISBLANK(A30), "", VLOOKUP(A30, Menu!$A$2:$D$18, 2, FALSE))</f>
        <v/>
      </c>
      <c r="C30" s="15" t="str">
        <f>IF(ISBLANK(A30), "", VLOOKUP(A30, Menu!$A$2:$D$18, 3, FALSE))</f>
        <v/>
      </c>
      <c r="D30" s="16" t="str">
        <f>IF(ISBLANK(A30), "", VLOOKUP(A30, Menu!$A$2:$D$18, 4, FALSE))</f>
        <v/>
      </c>
      <c r="E30" s="17"/>
      <c r="F30" s="16" t="str">
        <f t="shared" si="1"/>
        <v/>
      </c>
    </row>
    <row r="31" spans="1:6" x14ac:dyDescent="0.25">
      <c r="A31" s="17"/>
      <c r="B31" s="15" t="str">
        <f>IF(ISBLANK(A31), "", VLOOKUP(A31, Menu!$A$2:$D$18, 2, FALSE))</f>
        <v/>
      </c>
      <c r="C31" s="15" t="str">
        <f>IF(ISBLANK(A31), "", VLOOKUP(A31, Menu!$A$2:$D$18, 3, FALSE))</f>
        <v/>
      </c>
      <c r="D31" s="16" t="str">
        <f>IF(ISBLANK(A31), "", VLOOKUP(A31, Menu!$A$2:$D$18, 4, FALSE))</f>
        <v/>
      </c>
      <c r="E31" s="17"/>
      <c r="F31" s="16" t="str">
        <f t="shared" si="1"/>
        <v/>
      </c>
    </row>
    <row r="32" spans="1:6" x14ac:dyDescent="0.25">
      <c r="A32" s="17"/>
      <c r="B32" s="15" t="str">
        <f>IF(ISBLANK(A32), "", VLOOKUP(A32, Menu!$A$2:$D$18, 2, FALSE))</f>
        <v/>
      </c>
      <c r="C32" s="15" t="str">
        <f>IF(ISBLANK(A32), "", VLOOKUP(A32, Menu!$A$2:$D$18, 3, FALSE))</f>
        <v/>
      </c>
      <c r="D32" s="16" t="str">
        <f>IF(ISBLANK(A32), "", VLOOKUP(A32, Menu!$A$2:$D$18, 4, FALSE))</f>
        <v/>
      </c>
      <c r="E32" s="17"/>
      <c r="F32" s="16" t="str">
        <f t="shared" si="1"/>
        <v/>
      </c>
    </row>
    <row r="33" spans="1:6" x14ac:dyDescent="0.25">
      <c r="A33" s="17"/>
      <c r="B33" s="15" t="str">
        <f>IF(ISBLANK(A33), "", VLOOKUP(A33, Menu!$A$2:$D$18, 2, FALSE))</f>
        <v/>
      </c>
      <c r="C33" s="15" t="str">
        <f>IF(ISBLANK(A33), "", VLOOKUP(A33, Menu!$A$2:$D$18, 3, FALSE))</f>
        <v/>
      </c>
      <c r="D33" s="16" t="str">
        <f>IF(ISBLANK(A33), "", VLOOKUP(A33, Menu!$A$2:$D$18, 4, FALSE))</f>
        <v/>
      </c>
      <c r="E33" s="17"/>
      <c r="F33" s="16" t="str">
        <f t="shared" si="1"/>
        <v/>
      </c>
    </row>
    <row r="34" spans="1:6" x14ac:dyDescent="0.25">
      <c r="A34" s="17"/>
      <c r="B34" s="15" t="str">
        <f>IF(ISBLANK(A34), "", VLOOKUP(A34, Menu!$A$2:$D$18, 2, FALSE))</f>
        <v/>
      </c>
      <c r="C34" s="15" t="str">
        <f>IF(ISBLANK(A34), "", VLOOKUP(A34, Menu!$A$2:$D$18, 3, FALSE))</f>
        <v/>
      </c>
      <c r="D34" s="16" t="str">
        <f>IF(ISBLANK(A34), "", VLOOKUP(A34, Menu!$A$2:$D$18, 4, FALSE))</f>
        <v/>
      </c>
      <c r="E34" s="17"/>
      <c r="F34" s="16" t="str">
        <f t="shared" si="1"/>
        <v/>
      </c>
    </row>
    <row r="35" spans="1:6" x14ac:dyDescent="0.25">
      <c r="A35" s="17"/>
      <c r="B35" s="15" t="str">
        <f>IF(ISBLANK(A35), "", VLOOKUP(A35, Menu!$A$2:$D$18, 2, FALSE))</f>
        <v/>
      </c>
      <c r="C35" s="15" t="str">
        <f>IF(ISBLANK(A35), "", VLOOKUP(A35, Menu!$A$2:$D$18, 3, FALSE))</f>
        <v/>
      </c>
      <c r="D35" s="16" t="str">
        <f>IF(ISBLANK(A35), "", VLOOKUP(A35, Menu!$A$2:$D$18, 4, FALSE))</f>
        <v/>
      </c>
      <c r="E35" s="17"/>
      <c r="F35" s="16" t="str">
        <f t="shared" si="1"/>
        <v/>
      </c>
    </row>
    <row r="36" spans="1:6" x14ac:dyDescent="0.25">
      <c r="A36" s="17"/>
      <c r="B36" s="15" t="str">
        <f>IF(ISBLANK(A36), "", VLOOKUP(A36, Menu!$A$2:$D$18, 2, FALSE))</f>
        <v/>
      </c>
      <c r="C36" s="15" t="str">
        <f>IF(ISBLANK(A36), "", VLOOKUP(A36, Menu!$A$2:$D$18, 3, FALSE))</f>
        <v/>
      </c>
      <c r="D36" s="16" t="str">
        <f>IF(ISBLANK(A36), "", VLOOKUP(A36, Menu!$A$2:$D$18, 4, FALSE))</f>
        <v/>
      </c>
      <c r="E36" s="17"/>
      <c r="F36" s="16" t="str">
        <f t="shared" si="1"/>
        <v/>
      </c>
    </row>
    <row r="37" spans="1:6" x14ac:dyDescent="0.25">
      <c r="A37" s="17"/>
      <c r="B37" s="15" t="str">
        <f>IF(ISBLANK(A37), "", VLOOKUP(A37, Menu!$A$2:$D$18, 2, FALSE))</f>
        <v/>
      </c>
      <c r="C37" s="15" t="str">
        <f>IF(ISBLANK(A37), "", VLOOKUP(A37, Menu!$A$2:$D$18, 3, FALSE))</f>
        <v/>
      </c>
      <c r="D37" s="16" t="str">
        <f>IF(ISBLANK(A37), "", VLOOKUP(A37, Menu!$A$2:$D$18, 4, FALSE))</f>
        <v/>
      </c>
      <c r="E37" s="17"/>
      <c r="F37" s="16" t="str">
        <f t="shared" si="1"/>
        <v/>
      </c>
    </row>
    <row r="38" spans="1:6" x14ac:dyDescent="0.25">
      <c r="A38" s="17"/>
      <c r="B38" s="15" t="str">
        <f>IF(ISBLANK(A38), "", VLOOKUP(A38, Menu!$A$2:$D$18, 2, FALSE))</f>
        <v/>
      </c>
      <c r="C38" s="15" t="str">
        <f>IF(ISBLANK(A38), "", VLOOKUP(A38, Menu!$A$2:$D$18, 3, FALSE))</f>
        <v/>
      </c>
      <c r="D38" s="16" t="str">
        <f>IF(ISBLANK(A38), "", VLOOKUP(A38, Menu!$A$2:$D$18, 4, FALSE))</f>
        <v/>
      </c>
      <c r="E38" s="17"/>
      <c r="F38" s="16" t="str">
        <f t="shared" si="1"/>
        <v/>
      </c>
    </row>
    <row r="39" spans="1:6" x14ac:dyDescent="0.25">
      <c r="A39" s="17"/>
      <c r="B39" s="15" t="str">
        <f>IF(ISBLANK(A39), "", VLOOKUP(A39, Menu!$A$2:$D$18, 2, FALSE))</f>
        <v/>
      </c>
      <c r="C39" s="15" t="str">
        <f>IF(ISBLANK(A39), "", VLOOKUP(A39, Menu!$A$2:$D$18, 3, FALSE))</f>
        <v/>
      </c>
      <c r="D39" s="16" t="str">
        <f>IF(ISBLANK(A39), "", VLOOKUP(A39, Menu!$A$2:$D$18, 4, FALSE))</f>
        <v/>
      </c>
      <c r="E39" s="17"/>
      <c r="F39" s="16" t="str">
        <f t="shared" si="1"/>
        <v/>
      </c>
    </row>
    <row r="40" spans="1:6" x14ac:dyDescent="0.25">
      <c r="A40" s="17"/>
      <c r="B40" s="15" t="str">
        <f>IF(ISBLANK(A40), "", VLOOKUP(A40, Menu!$A$2:$D$18, 2, FALSE))</f>
        <v/>
      </c>
      <c r="C40" s="15" t="str">
        <f>IF(ISBLANK(A40), "", VLOOKUP(A40, Menu!$A$2:$D$18, 3, FALSE))</f>
        <v/>
      </c>
      <c r="D40" s="16" t="str">
        <f>IF(ISBLANK(A40), "", VLOOKUP(A40, Menu!$A$2:$D$18, 4, FALSE))</f>
        <v/>
      </c>
      <c r="E40" s="17"/>
      <c r="F40" s="16" t="str">
        <f t="shared" si="1"/>
        <v/>
      </c>
    </row>
    <row r="41" spans="1:6" x14ac:dyDescent="0.25">
      <c r="A41" s="17"/>
      <c r="B41" s="15" t="str">
        <f>IF(ISBLANK(A41), "", VLOOKUP(A41, Menu!$A$2:$D$18, 2, FALSE))</f>
        <v/>
      </c>
      <c r="C41" s="15" t="str">
        <f>IF(ISBLANK(A41), "", VLOOKUP(A41, Menu!$A$2:$D$18, 3, FALSE))</f>
        <v/>
      </c>
      <c r="D41" s="16" t="str">
        <f>IF(ISBLANK(A41), "", VLOOKUP(A41, Menu!$A$2:$D$18, 4, FALSE))</f>
        <v/>
      </c>
      <c r="E41" s="17"/>
      <c r="F41" s="16" t="str">
        <f t="shared" si="1"/>
        <v/>
      </c>
    </row>
    <row r="42" spans="1:6" x14ac:dyDescent="0.25">
      <c r="A42" s="17"/>
      <c r="B42" s="15" t="str">
        <f>IF(ISBLANK(A42), "", VLOOKUP(A42, Menu!$A$2:$D$18, 2, FALSE))</f>
        <v/>
      </c>
      <c r="C42" s="15" t="str">
        <f>IF(ISBLANK(A42), "", VLOOKUP(A42, Menu!$A$2:$D$18, 3, FALSE))</f>
        <v/>
      </c>
      <c r="D42" s="16" t="str">
        <f>IF(ISBLANK(A42), "", VLOOKUP(A42, Menu!$A$2:$D$18, 4, FALSE))</f>
        <v/>
      </c>
      <c r="E42" s="17"/>
      <c r="F42" s="16" t="str">
        <f t="shared" si="1"/>
        <v/>
      </c>
    </row>
    <row r="43" spans="1:6" x14ac:dyDescent="0.25">
      <c r="A43" s="17"/>
      <c r="B43" s="15" t="str">
        <f>IF(ISBLANK(A43), "", VLOOKUP(A43, Menu!$A$2:$D$18, 2, FALSE))</f>
        <v/>
      </c>
      <c r="C43" s="15" t="str">
        <f>IF(ISBLANK(A43), "", VLOOKUP(A43, Menu!$A$2:$D$18, 3, FALSE))</f>
        <v/>
      </c>
      <c r="D43" s="16" t="str">
        <f>IF(ISBLANK(A43), "", VLOOKUP(A43, Menu!$A$2:$D$18, 4, FALSE))</f>
        <v/>
      </c>
      <c r="E43" s="17"/>
      <c r="F43" s="16" t="str">
        <f t="shared" si="1"/>
        <v/>
      </c>
    </row>
    <row r="44" spans="1:6" x14ac:dyDescent="0.25">
      <c r="A44" s="17"/>
      <c r="B44" s="15" t="str">
        <f>IF(ISBLANK(A44), "", VLOOKUP(A44, Menu!$A$2:$D$18, 2, FALSE))</f>
        <v/>
      </c>
      <c r="C44" s="15" t="str">
        <f>IF(ISBLANK(A44), "", VLOOKUP(A44, Menu!$A$2:$D$18, 3, FALSE))</f>
        <v/>
      </c>
      <c r="D44" s="16" t="str">
        <f>IF(ISBLANK(A44), "", VLOOKUP(A44, Menu!$A$2:$D$18, 4, FALSE))</f>
        <v/>
      </c>
      <c r="E44" s="17"/>
      <c r="F44" s="16" t="str">
        <f t="shared" si="1"/>
        <v/>
      </c>
    </row>
    <row r="45" spans="1:6" x14ac:dyDescent="0.25">
      <c r="A45" s="17"/>
      <c r="B45" s="15" t="str">
        <f>IF(ISBLANK(A45), "", VLOOKUP(A45, Menu!$A$2:$D$18, 2, FALSE))</f>
        <v/>
      </c>
      <c r="C45" s="15" t="str">
        <f>IF(ISBLANK(A45), "", VLOOKUP(A45, Menu!$A$2:$D$18, 3, FALSE))</f>
        <v/>
      </c>
      <c r="D45" s="16" t="str">
        <f>IF(ISBLANK(A45), "", VLOOKUP(A45, Menu!$A$2:$D$18, 4, FALSE))</f>
        <v/>
      </c>
      <c r="E45" s="17"/>
      <c r="F45" s="16" t="str">
        <f t="shared" si="1"/>
        <v/>
      </c>
    </row>
    <row r="46" spans="1:6" x14ac:dyDescent="0.25">
      <c r="A46" s="17"/>
      <c r="B46" s="15" t="str">
        <f>IF(ISBLANK(A46), "", VLOOKUP(A46, Menu!$A$2:$D$18, 2, FALSE))</f>
        <v/>
      </c>
      <c r="C46" s="15" t="str">
        <f>IF(ISBLANK(A46), "", VLOOKUP(A46, Menu!$A$2:$D$18, 3, FALSE))</f>
        <v/>
      </c>
      <c r="D46" s="16" t="str">
        <f>IF(ISBLANK(A46), "", VLOOKUP(A46, Menu!$A$2:$D$18, 4, FALSE))</f>
        <v/>
      </c>
      <c r="E46" s="17"/>
      <c r="F46" s="16" t="str">
        <f t="shared" si="1"/>
        <v/>
      </c>
    </row>
    <row r="47" spans="1:6" x14ac:dyDescent="0.25">
      <c r="A47" s="17"/>
      <c r="B47" s="15" t="str">
        <f>IF(ISBLANK(A47), "", VLOOKUP(A47, Menu!$A$2:$D$18, 2, FALSE))</f>
        <v/>
      </c>
      <c r="C47" s="15" t="str">
        <f>IF(ISBLANK(A47), "", VLOOKUP(A47, Menu!$A$2:$D$18, 3, FALSE))</f>
        <v/>
      </c>
      <c r="D47" s="16" t="str">
        <f>IF(ISBLANK(A47), "", VLOOKUP(A47, Menu!$A$2:$D$18, 4, FALSE))</f>
        <v/>
      </c>
      <c r="E47" s="17"/>
      <c r="F47" s="16" t="str">
        <f t="shared" si="1"/>
        <v/>
      </c>
    </row>
    <row r="48" spans="1:6" x14ac:dyDescent="0.25">
      <c r="A48" s="17"/>
      <c r="B48" s="15" t="str">
        <f>IF(ISBLANK(A48), "", VLOOKUP(A48, Menu!$A$2:$D$18, 2, FALSE))</f>
        <v/>
      </c>
      <c r="C48" s="15" t="str">
        <f>IF(ISBLANK(A48), "", VLOOKUP(A48, Menu!$A$2:$D$18, 3, FALSE))</f>
        <v/>
      </c>
      <c r="D48" s="16" t="str">
        <f>IF(ISBLANK(A48), "", VLOOKUP(A48, Menu!$A$2:$D$18, 4, FALSE))</f>
        <v/>
      </c>
      <c r="E48" s="17"/>
      <c r="F48" s="16" t="str">
        <f t="shared" si="1"/>
        <v/>
      </c>
    </row>
    <row r="49" spans="1:6" x14ac:dyDescent="0.25">
      <c r="A49" s="17"/>
      <c r="B49" s="15" t="str">
        <f>IF(ISBLANK(A49), "", VLOOKUP(A49, Menu!$A$2:$D$18, 2, FALSE))</f>
        <v/>
      </c>
      <c r="C49" s="15" t="str">
        <f>IF(ISBLANK(A49), "", VLOOKUP(A49, Menu!$A$2:$D$18, 3, FALSE))</f>
        <v/>
      </c>
      <c r="D49" s="16" t="str">
        <f>IF(ISBLANK(A49), "", VLOOKUP(A49, Menu!$A$2:$D$18, 4, FALSE))</f>
        <v/>
      </c>
      <c r="E49" s="17"/>
      <c r="F49" s="16" t="str">
        <f t="shared" si="1"/>
        <v/>
      </c>
    </row>
    <row r="50" spans="1:6" x14ac:dyDescent="0.25">
      <c r="A50" s="17"/>
      <c r="B50" s="15" t="str">
        <f>IF(ISBLANK(A50), "", VLOOKUP(A50, Menu!$A$2:$D$18, 2, FALSE))</f>
        <v/>
      </c>
      <c r="C50" s="15" t="str">
        <f>IF(ISBLANK(A50), "", VLOOKUP(A50, Menu!$A$2:$D$18, 3, FALSE))</f>
        <v/>
      </c>
      <c r="D50" s="16" t="str">
        <f>IF(ISBLANK(A50), "", VLOOKUP(A50, Menu!$A$2:$D$18, 4, FALSE))</f>
        <v/>
      </c>
      <c r="E50" s="17"/>
      <c r="F50" s="16" t="str">
        <f t="shared" si="1"/>
        <v/>
      </c>
    </row>
    <row r="51" spans="1:6" x14ac:dyDescent="0.25">
      <c r="A51" s="17"/>
      <c r="B51" s="15" t="str">
        <f>IF(ISBLANK(A51), "", VLOOKUP(A51, Menu!$A$2:$D$18, 2, FALSE))</f>
        <v/>
      </c>
      <c r="C51" s="15" t="str">
        <f>IF(ISBLANK(A51), "", VLOOKUP(A51, Menu!$A$2:$D$18, 3, FALSE))</f>
        <v/>
      </c>
      <c r="D51" s="16" t="str">
        <f>IF(ISBLANK(A51), "", VLOOKUP(A51, Menu!$A$2:$D$18, 4, FALSE))</f>
        <v/>
      </c>
      <c r="E51" s="17"/>
      <c r="F51" s="16" t="str">
        <f t="shared" si="1"/>
        <v/>
      </c>
    </row>
    <row r="52" spans="1:6" x14ac:dyDescent="0.25">
      <c r="A52" s="17"/>
      <c r="B52" s="15" t="str">
        <f>IF(ISBLANK(A52), "", VLOOKUP(A52, Menu!$A$2:$D$18, 2, FALSE))</f>
        <v/>
      </c>
      <c r="C52" s="15" t="str">
        <f>IF(ISBLANK(A52), "", VLOOKUP(A52, Menu!$A$2:$D$18, 3, FALSE))</f>
        <v/>
      </c>
      <c r="D52" s="16" t="str">
        <f>IF(ISBLANK(A52), "", VLOOKUP(A52, Menu!$A$2:$D$18, 4, FALSE))</f>
        <v/>
      </c>
      <c r="E52" s="17"/>
      <c r="F52" s="16" t="str">
        <f t="shared" si="1"/>
        <v/>
      </c>
    </row>
    <row r="53" spans="1:6" x14ac:dyDescent="0.25">
      <c r="A53" s="17"/>
      <c r="B53" s="15" t="str">
        <f>IF(ISBLANK(A53), "", VLOOKUP(A53, Menu!$A$2:$D$18, 2, FALSE))</f>
        <v/>
      </c>
      <c r="C53" s="15" t="str">
        <f>IF(ISBLANK(A53), "", VLOOKUP(A53, Menu!$A$2:$D$18, 3, FALSE))</f>
        <v/>
      </c>
      <c r="D53" s="16" t="str">
        <f>IF(ISBLANK(A53), "", VLOOKUP(A53, Menu!$A$2:$D$18, 4, FALSE))</f>
        <v/>
      </c>
      <c r="E53" s="17"/>
      <c r="F53" s="16" t="str">
        <f t="shared" si="1"/>
        <v/>
      </c>
    </row>
    <row r="54" spans="1:6" x14ac:dyDescent="0.25">
      <c r="A54" s="17"/>
      <c r="B54" s="15" t="str">
        <f>IF(ISBLANK(A54), "", VLOOKUP(A54, Menu!$A$2:$D$18, 2, FALSE))</f>
        <v/>
      </c>
      <c r="C54" s="15" t="str">
        <f>IF(ISBLANK(A54), "", VLOOKUP(A54, Menu!$A$2:$D$18, 3, FALSE))</f>
        <v/>
      </c>
      <c r="D54" s="16" t="str">
        <f>IF(ISBLANK(A54), "", VLOOKUP(A54, Menu!$A$2:$D$18, 4, FALSE))</f>
        <v/>
      </c>
      <c r="E54" s="17"/>
      <c r="F54" s="16" t="str">
        <f t="shared" si="1"/>
        <v/>
      </c>
    </row>
    <row r="55" spans="1:6" x14ac:dyDescent="0.25">
      <c r="A55" s="17"/>
      <c r="B55" s="15" t="str">
        <f>IF(ISBLANK(A55), "", VLOOKUP(A55, Menu!$A$2:$D$18, 2, FALSE))</f>
        <v/>
      </c>
      <c r="C55" s="15" t="str">
        <f>IF(ISBLANK(A55), "", VLOOKUP(A55, Menu!$A$2:$D$18, 3, FALSE))</f>
        <v/>
      </c>
      <c r="D55" s="16" t="str">
        <f>IF(ISBLANK(A55), "", VLOOKUP(A55, Menu!$A$2:$D$18, 4, FALSE))</f>
        <v/>
      </c>
      <c r="E55" s="17"/>
      <c r="F55" s="16" t="str">
        <f t="shared" si="1"/>
        <v/>
      </c>
    </row>
    <row r="56" spans="1:6" x14ac:dyDescent="0.25">
      <c r="A56" s="17"/>
      <c r="B56" s="15" t="str">
        <f>IF(ISBLANK(A56), "", VLOOKUP(A56, Menu!$A$2:$D$18, 2, FALSE))</f>
        <v/>
      </c>
      <c r="C56" s="15" t="str">
        <f>IF(ISBLANK(A56), "", VLOOKUP(A56, Menu!$A$2:$D$18, 3, FALSE))</f>
        <v/>
      </c>
      <c r="D56" s="16" t="str">
        <f>IF(ISBLANK(A56), "", VLOOKUP(A56, Menu!$A$2:$D$18, 4, FALSE))</f>
        <v/>
      </c>
      <c r="E56" s="17"/>
      <c r="F56" s="16" t="str">
        <f t="shared" si="1"/>
        <v/>
      </c>
    </row>
    <row r="57" spans="1:6" x14ac:dyDescent="0.25">
      <c r="A57" s="17"/>
      <c r="B57" s="15" t="str">
        <f>IF(ISBLANK(A57), "", VLOOKUP(A57, Menu!$A$2:$D$18, 2, FALSE))</f>
        <v/>
      </c>
      <c r="C57" s="15" t="str">
        <f>IF(ISBLANK(A57), "", VLOOKUP(A57, Menu!$A$2:$D$18, 3, FALSE))</f>
        <v/>
      </c>
      <c r="D57" s="16" t="str">
        <f>IF(ISBLANK(A57), "", VLOOKUP(A57, Menu!$A$2:$D$18, 4, FALSE))</f>
        <v/>
      </c>
      <c r="E57" s="17"/>
      <c r="F57" s="16" t="str">
        <f t="shared" si="1"/>
        <v/>
      </c>
    </row>
    <row r="58" spans="1:6" x14ac:dyDescent="0.25">
      <c r="A58" s="17"/>
      <c r="B58" s="15" t="str">
        <f>IF(ISBLANK(A58), "", VLOOKUP(A58, Menu!$A$2:$D$18, 2, FALSE))</f>
        <v/>
      </c>
      <c r="C58" s="15" t="str">
        <f>IF(ISBLANK(A58), "", VLOOKUP(A58, Menu!$A$2:$D$18, 3, FALSE))</f>
        <v/>
      </c>
      <c r="D58" s="16" t="str">
        <f>IF(ISBLANK(A58), "", VLOOKUP(A58, Menu!$A$2:$D$18, 4, FALSE))</f>
        <v/>
      </c>
      <c r="E58" s="17"/>
      <c r="F58" s="16" t="str">
        <f t="shared" si="1"/>
        <v/>
      </c>
    </row>
    <row r="59" spans="1:6" x14ac:dyDescent="0.25">
      <c r="A59" s="17"/>
      <c r="B59" s="15" t="str">
        <f>IF(ISBLANK(A59), "", VLOOKUP(A59, Menu!$A$2:$D$18, 2, FALSE))</f>
        <v/>
      </c>
      <c r="C59" s="15" t="str">
        <f>IF(ISBLANK(A59), "", VLOOKUP(A59, Menu!$A$2:$D$18, 3, FALSE))</f>
        <v/>
      </c>
      <c r="D59" s="16" t="str">
        <f>IF(ISBLANK(A59), "", VLOOKUP(A59, Menu!$A$2:$D$18, 4, FALSE))</f>
        <v/>
      </c>
      <c r="E59" s="17"/>
      <c r="F59" s="16" t="str">
        <f t="shared" si="1"/>
        <v/>
      </c>
    </row>
    <row r="60" spans="1:6" x14ac:dyDescent="0.25">
      <c r="A60" s="17"/>
      <c r="B60" s="15" t="str">
        <f>IF(ISBLANK(A60), "", VLOOKUP(A60, Menu!$A$2:$D$18, 2, FALSE))</f>
        <v/>
      </c>
      <c r="C60" s="15" t="str">
        <f>IF(ISBLANK(A60), "", VLOOKUP(A60, Menu!$A$2:$D$18, 3, FALSE))</f>
        <v/>
      </c>
      <c r="D60" s="16" t="str">
        <f>IF(ISBLANK(A60), "", VLOOKUP(A60, Menu!$A$2:$D$18, 4, FALSE))</f>
        <v/>
      </c>
      <c r="E60" s="17"/>
      <c r="F60" s="16" t="str">
        <f t="shared" si="1"/>
        <v/>
      </c>
    </row>
    <row r="61" spans="1:6" x14ac:dyDescent="0.25">
      <c r="A61" s="17"/>
      <c r="B61" s="15" t="str">
        <f>IF(ISBLANK(A61), "", VLOOKUP(A61, Menu!$A$2:$D$18, 2, FALSE))</f>
        <v/>
      </c>
      <c r="C61" s="15" t="str">
        <f>IF(ISBLANK(A61), "", VLOOKUP(A61, Menu!$A$2:$D$18, 3, FALSE))</f>
        <v/>
      </c>
      <c r="D61" s="16" t="str">
        <f>IF(ISBLANK(A61), "", VLOOKUP(A61, Menu!$A$2:$D$18, 4, FALSE))</f>
        <v/>
      </c>
      <c r="E61" s="17"/>
      <c r="F61" s="16" t="str">
        <f t="shared" si="1"/>
        <v/>
      </c>
    </row>
    <row r="62" spans="1:6" x14ac:dyDescent="0.25">
      <c r="A62" s="17"/>
      <c r="B62" s="15" t="str">
        <f>IF(ISBLANK(A62), "", VLOOKUP(A62, Menu!$A$2:$D$18, 2, FALSE))</f>
        <v/>
      </c>
      <c r="C62" s="15" t="str">
        <f>IF(ISBLANK(A62), "", VLOOKUP(A62, Menu!$A$2:$D$18, 3, FALSE))</f>
        <v/>
      </c>
      <c r="D62" s="16" t="str">
        <f>IF(ISBLANK(A62), "", VLOOKUP(A62, Menu!$A$2:$D$18, 4, FALSE))</f>
        <v/>
      </c>
      <c r="E62" s="17"/>
      <c r="F62" s="16" t="str">
        <f t="shared" si="1"/>
        <v/>
      </c>
    </row>
    <row r="63" spans="1:6" x14ac:dyDescent="0.25">
      <c r="A63" s="17"/>
      <c r="B63" s="15" t="str">
        <f>IF(ISBLANK(A63), "", VLOOKUP(A63, Menu!$A$2:$D$18, 2, FALSE))</f>
        <v/>
      </c>
      <c r="C63" s="15" t="str">
        <f>IF(ISBLANK(A63), "", VLOOKUP(A63, Menu!$A$2:$D$18, 3, FALSE))</f>
        <v/>
      </c>
      <c r="D63" s="16" t="str">
        <f>IF(ISBLANK(A63), "", VLOOKUP(A63, Menu!$A$2:$D$18, 4, FALSE))</f>
        <v/>
      </c>
      <c r="E63" s="17"/>
      <c r="F63" s="16" t="str">
        <f t="shared" si="1"/>
        <v/>
      </c>
    </row>
    <row r="64" spans="1:6" x14ac:dyDescent="0.25">
      <c r="A64" s="17"/>
      <c r="B64" s="15" t="str">
        <f>IF(ISBLANK(A64), "", VLOOKUP(A64, Menu!$A$2:$D$18, 2, FALSE))</f>
        <v/>
      </c>
      <c r="C64" s="15" t="str">
        <f>IF(ISBLANK(A64), "", VLOOKUP(A64, Menu!$A$2:$D$18, 3, FALSE))</f>
        <v/>
      </c>
      <c r="D64" s="16" t="str">
        <f>IF(ISBLANK(A64), "", VLOOKUP(A64, Menu!$A$2:$D$18, 4, FALSE))</f>
        <v/>
      </c>
      <c r="E64" s="17"/>
      <c r="F64" s="16" t="str">
        <f t="shared" si="1"/>
        <v/>
      </c>
    </row>
    <row r="65" spans="1:6" x14ac:dyDescent="0.25">
      <c r="A65" s="17"/>
      <c r="B65" s="15" t="str">
        <f>IF(ISBLANK(A65), "", VLOOKUP(A65, Menu!$A$2:$D$18, 2, FALSE))</f>
        <v/>
      </c>
      <c r="C65" s="15" t="str">
        <f>IF(ISBLANK(A65), "", VLOOKUP(A65, Menu!$A$2:$D$18, 3, FALSE))</f>
        <v/>
      </c>
      <c r="D65" s="16" t="str">
        <f>IF(ISBLANK(A65), "", VLOOKUP(A65, Menu!$A$2:$D$18, 4, FALSE))</f>
        <v/>
      </c>
      <c r="E65" s="17"/>
      <c r="F65" s="16" t="str">
        <f t="shared" si="1"/>
        <v/>
      </c>
    </row>
    <row r="66" spans="1:6" x14ac:dyDescent="0.25">
      <c r="A66" s="17"/>
      <c r="B66" s="15" t="str">
        <f>IF(ISBLANK(A66), "", VLOOKUP(A66, Menu!$A$2:$D$18, 2, FALSE))</f>
        <v/>
      </c>
      <c r="C66" s="15" t="str">
        <f>IF(ISBLANK(A66), "", VLOOKUP(A66, Menu!$A$2:$D$18, 3, FALSE))</f>
        <v/>
      </c>
      <c r="D66" s="16" t="str">
        <f>IF(ISBLANK(A66), "", VLOOKUP(A66, Menu!$A$2:$D$18, 4, FALSE))</f>
        <v/>
      </c>
      <c r="E66" s="17"/>
      <c r="F66" s="16" t="str">
        <f t="shared" si="1"/>
        <v/>
      </c>
    </row>
    <row r="67" spans="1:6" x14ac:dyDescent="0.25">
      <c r="A67" s="17"/>
      <c r="B67" s="15" t="str">
        <f>IF(ISBLANK(A67), "", VLOOKUP(A67, Menu!$A$2:$D$18, 2, FALSE))</f>
        <v/>
      </c>
      <c r="C67" s="15" t="str">
        <f>IF(ISBLANK(A67), "", VLOOKUP(A67, Menu!$A$2:$D$18, 3, FALSE))</f>
        <v/>
      </c>
      <c r="D67" s="16" t="str">
        <f>IF(ISBLANK(A67), "", VLOOKUP(A67, Menu!$A$2:$D$18, 4, FALSE))</f>
        <v/>
      </c>
      <c r="E67" s="17"/>
      <c r="F67" s="16" t="str">
        <f t="shared" si="1"/>
        <v/>
      </c>
    </row>
    <row r="68" spans="1:6" x14ac:dyDescent="0.25">
      <c r="A68" s="17"/>
      <c r="B68" s="15" t="str">
        <f>IF(ISBLANK(A68), "", VLOOKUP(A68, Menu!$A$2:$D$18, 2, FALSE))</f>
        <v/>
      </c>
      <c r="C68" s="15" t="str">
        <f>IF(ISBLANK(A68), "", VLOOKUP(A68, Menu!$A$2:$D$18, 3, FALSE))</f>
        <v/>
      </c>
      <c r="D68" s="16" t="str">
        <f>IF(ISBLANK(A68), "", VLOOKUP(A68, Menu!$A$2:$D$18, 4, FALSE))</f>
        <v/>
      </c>
      <c r="E68" s="17"/>
      <c r="F68" s="16" t="str">
        <f t="shared" si="1"/>
        <v/>
      </c>
    </row>
    <row r="69" spans="1:6" x14ac:dyDescent="0.25">
      <c r="A69" s="17"/>
      <c r="B69" s="15" t="str">
        <f>IF(ISBLANK(A69), "", VLOOKUP(A69, Menu!$A$2:$D$18, 2, FALSE))</f>
        <v/>
      </c>
      <c r="C69" s="15" t="str">
        <f>IF(ISBLANK(A69), "", VLOOKUP(A69, Menu!$A$2:$D$18, 3, FALSE))</f>
        <v/>
      </c>
      <c r="D69" s="16" t="str">
        <f>IF(ISBLANK(A69), "", VLOOKUP(A69, Menu!$A$2:$D$18, 4, FALSE))</f>
        <v/>
      </c>
      <c r="E69" s="17"/>
      <c r="F69" s="16" t="str">
        <f t="shared" si="1"/>
        <v/>
      </c>
    </row>
    <row r="70" spans="1:6" x14ac:dyDescent="0.25">
      <c r="A70" s="17"/>
      <c r="B70" s="15" t="str">
        <f>IF(ISBLANK(A70), "", VLOOKUP(A70, Menu!$A$2:$D$18, 2, FALSE))</f>
        <v/>
      </c>
      <c r="C70" s="15" t="str">
        <f>IF(ISBLANK(A70), "", VLOOKUP(A70, Menu!$A$2:$D$18, 3, FALSE))</f>
        <v/>
      </c>
      <c r="D70" s="16" t="str">
        <f>IF(ISBLANK(A70), "", VLOOKUP(A70, Menu!$A$2:$D$18, 4, FALSE))</f>
        <v/>
      </c>
      <c r="E70" s="17"/>
      <c r="F70" s="16" t="str">
        <f t="shared" si="1"/>
        <v/>
      </c>
    </row>
    <row r="71" spans="1:6" x14ac:dyDescent="0.25">
      <c r="A71" s="17"/>
      <c r="B71" s="15" t="str">
        <f>IF(ISBLANK(A71), "", VLOOKUP(A71, Menu!$A$2:$D$18, 2, FALSE))</f>
        <v/>
      </c>
      <c r="C71" s="15" t="str">
        <f>IF(ISBLANK(A71), "", VLOOKUP(A71, Menu!$A$2:$D$18, 3, FALSE))</f>
        <v/>
      </c>
      <c r="D71" s="16" t="str">
        <f>IF(ISBLANK(A71), "", VLOOKUP(A71, Menu!$A$2:$D$18, 4, FALSE))</f>
        <v/>
      </c>
      <c r="E71" s="17"/>
      <c r="F71" s="16" t="str">
        <f t="shared" si="1"/>
        <v/>
      </c>
    </row>
    <row r="72" spans="1:6" x14ac:dyDescent="0.25">
      <c r="A72" s="17"/>
      <c r="B72" s="15" t="str">
        <f>IF(ISBLANK(A72), "", VLOOKUP(A72, Menu!$A$2:$D$18, 2, FALSE))</f>
        <v/>
      </c>
      <c r="C72" s="15" t="str">
        <f>IF(ISBLANK(A72), "", VLOOKUP(A72, Menu!$A$2:$D$18, 3, FALSE))</f>
        <v/>
      </c>
      <c r="D72" s="16" t="str">
        <f>IF(ISBLANK(A72), "", VLOOKUP(A72, Menu!$A$2:$D$18, 4, FALSE))</f>
        <v/>
      </c>
      <c r="E72" s="17"/>
      <c r="F72" s="16" t="str">
        <f t="shared" si="1"/>
        <v/>
      </c>
    </row>
    <row r="73" spans="1:6" x14ac:dyDescent="0.25">
      <c r="A73" s="17"/>
      <c r="B73" s="15" t="str">
        <f>IF(ISBLANK(A73), "", VLOOKUP(A73, Menu!$A$2:$D$18, 2, FALSE))</f>
        <v/>
      </c>
      <c r="C73" s="15" t="str">
        <f>IF(ISBLANK(A73), "", VLOOKUP(A73, Menu!$A$2:$D$18, 3, FALSE))</f>
        <v/>
      </c>
      <c r="D73" s="16" t="str">
        <f>IF(ISBLANK(A73), "", VLOOKUP(A73, Menu!$A$2:$D$18, 4, FALSE))</f>
        <v/>
      </c>
      <c r="E73" s="17"/>
      <c r="F73" s="16" t="str">
        <f t="shared" si="1"/>
        <v/>
      </c>
    </row>
    <row r="74" spans="1:6" x14ac:dyDescent="0.25">
      <c r="A74" s="17"/>
      <c r="B74" s="15" t="str">
        <f>IF(ISBLANK(A74), "", VLOOKUP(A74, Menu!$A$2:$D$18, 2, FALSE))</f>
        <v/>
      </c>
      <c r="C74" s="15" t="str">
        <f>IF(ISBLANK(A74), "", VLOOKUP(A74, Menu!$A$2:$D$18, 3, FALSE))</f>
        <v/>
      </c>
      <c r="D74" s="16" t="str">
        <f>IF(ISBLANK(A74), "", VLOOKUP(A74, Menu!$A$2:$D$18, 4, FALSE))</f>
        <v/>
      </c>
      <c r="E74" s="17"/>
      <c r="F74" s="16" t="str">
        <f t="shared" si="1"/>
        <v/>
      </c>
    </row>
    <row r="75" spans="1:6" x14ac:dyDescent="0.25">
      <c r="A75" s="17"/>
      <c r="B75" s="15" t="str">
        <f>IF(ISBLANK(A75), "", VLOOKUP(A75, Menu!$A$2:$D$18, 2, FALSE))</f>
        <v/>
      </c>
      <c r="C75" s="15" t="str">
        <f>IF(ISBLANK(A75), "", VLOOKUP(A75, Menu!$A$2:$D$18, 3, FALSE))</f>
        <v/>
      </c>
      <c r="D75" s="16" t="str">
        <f>IF(ISBLANK(A75), "", VLOOKUP(A75, Menu!$A$2:$D$18, 4, FALSE))</f>
        <v/>
      </c>
      <c r="E75" s="17"/>
      <c r="F75" s="16" t="str">
        <f t="shared" si="1"/>
        <v/>
      </c>
    </row>
    <row r="76" spans="1:6" x14ac:dyDescent="0.25">
      <c r="A76" s="17"/>
      <c r="B76" s="15" t="str">
        <f>IF(ISBLANK(A76), "", VLOOKUP(A76, Menu!$A$2:$D$18, 2, FALSE))</f>
        <v/>
      </c>
      <c r="C76" s="15" t="str">
        <f>IF(ISBLANK(A76), "", VLOOKUP(A76, Menu!$A$2:$D$18, 3, FALSE))</f>
        <v/>
      </c>
      <c r="D76" s="16" t="str">
        <f>IF(ISBLANK(A76), "", VLOOKUP(A76, Menu!$A$2:$D$18, 4, FALSE))</f>
        <v/>
      </c>
      <c r="E76" s="17"/>
      <c r="F76" s="16" t="str">
        <f t="shared" si="1"/>
        <v/>
      </c>
    </row>
    <row r="77" spans="1:6" x14ac:dyDescent="0.25">
      <c r="A77" s="17"/>
      <c r="B77" s="15" t="str">
        <f>IF(ISBLANK(A77), "", VLOOKUP(A77, Menu!$A$2:$D$18, 2, FALSE))</f>
        <v/>
      </c>
      <c r="C77" s="15" t="str">
        <f>IF(ISBLANK(A77), "", VLOOKUP(A77, Menu!$A$2:$D$18, 3, FALSE))</f>
        <v/>
      </c>
      <c r="D77" s="16" t="str">
        <f>IF(ISBLANK(A77), "", VLOOKUP(A77, Menu!$A$2:$D$18, 4, FALSE))</f>
        <v/>
      </c>
      <c r="E77" s="17"/>
      <c r="F77" s="16" t="str">
        <f t="shared" si="1"/>
        <v/>
      </c>
    </row>
    <row r="78" spans="1:6" x14ac:dyDescent="0.25">
      <c r="A78" s="17"/>
      <c r="B78" s="15" t="str">
        <f>IF(ISBLANK(A78), "", VLOOKUP(A78, Menu!$A$2:$D$18, 2, FALSE))</f>
        <v/>
      </c>
      <c r="C78" s="15" t="str">
        <f>IF(ISBLANK(A78), "", VLOOKUP(A78, Menu!$A$2:$D$18, 3, FALSE))</f>
        <v/>
      </c>
      <c r="D78" s="16" t="str">
        <f>IF(ISBLANK(A78), "", VLOOKUP(A78, Menu!$A$2:$D$18, 4, FALSE))</f>
        <v/>
      </c>
      <c r="E78" s="17"/>
      <c r="F78" s="16" t="str">
        <f t="shared" si="1"/>
        <v/>
      </c>
    </row>
    <row r="79" spans="1:6" x14ac:dyDescent="0.25">
      <c r="A79" s="17"/>
      <c r="B79" s="15" t="str">
        <f>IF(ISBLANK(A79), "", VLOOKUP(A79, Menu!$A$2:$D$18, 2, FALSE))</f>
        <v/>
      </c>
      <c r="C79" s="15" t="str">
        <f>IF(ISBLANK(A79), "", VLOOKUP(A79, Menu!$A$2:$D$18, 3, FALSE))</f>
        <v/>
      </c>
      <c r="D79" s="16" t="str">
        <f>IF(ISBLANK(A79), "", VLOOKUP(A79, Menu!$A$2:$D$18, 4, FALSE))</f>
        <v/>
      </c>
      <c r="E79" s="17"/>
      <c r="F79" s="16" t="str">
        <f t="shared" si="1"/>
        <v/>
      </c>
    </row>
    <row r="80" spans="1:6" x14ac:dyDescent="0.25">
      <c r="A80" s="17"/>
      <c r="B80" s="15" t="str">
        <f>IF(ISBLANK(A80), "", VLOOKUP(A80, Menu!$A$2:$D$18, 2, FALSE))</f>
        <v/>
      </c>
      <c r="C80" s="15" t="str">
        <f>IF(ISBLANK(A80), "", VLOOKUP(A80, Menu!$A$2:$D$18, 3, FALSE))</f>
        <v/>
      </c>
      <c r="D80" s="16" t="str">
        <f>IF(ISBLANK(A80), "", VLOOKUP(A80, Menu!$A$2:$D$18, 4, FALSE))</f>
        <v/>
      </c>
      <c r="E80" s="17"/>
      <c r="F80" s="16" t="str">
        <f t="shared" si="1"/>
        <v/>
      </c>
    </row>
    <row r="81" spans="1:6" x14ac:dyDescent="0.25">
      <c r="A81" s="17"/>
      <c r="B81" s="15" t="str">
        <f>IF(ISBLANK(A81), "", VLOOKUP(A81, Menu!$A$2:$D$18, 2, FALSE))</f>
        <v/>
      </c>
      <c r="C81" s="15" t="str">
        <f>IF(ISBLANK(A81), "", VLOOKUP(A81, Menu!$A$2:$D$18, 3, FALSE))</f>
        <v/>
      </c>
      <c r="D81" s="16" t="str">
        <f>IF(ISBLANK(A81), "", VLOOKUP(A81, Menu!$A$2:$D$18, 4, FALSE))</f>
        <v/>
      </c>
      <c r="E81" s="17"/>
      <c r="F81" s="16" t="str">
        <f t="shared" si="1"/>
        <v/>
      </c>
    </row>
    <row r="82" spans="1:6" x14ac:dyDescent="0.25">
      <c r="A82" s="17"/>
      <c r="B82" s="15" t="str">
        <f>IF(ISBLANK(A82), "", VLOOKUP(A82, Menu!$A$2:$D$18, 2, FALSE))</f>
        <v/>
      </c>
      <c r="C82" s="15" t="str">
        <f>IF(ISBLANK(A82), "", VLOOKUP(A82, Menu!$A$2:$D$18, 3, FALSE))</f>
        <v/>
      </c>
      <c r="D82" s="16" t="str">
        <f>IF(ISBLANK(A82), "", VLOOKUP(A82, Menu!$A$2:$D$18, 4, FALSE))</f>
        <v/>
      </c>
      <c r="E82" s="17"/>
      <c r="F82" s="16" t="str">
        <f t="shared" si="1"/>
        <v/>
      </c>
    </row>
    <row r="83" spans="1:6" x14ac:dyDescent="0.25">
      <c r="A83" s="17"/>
      <c r="B83" s="15" t="str">
        <f>IF(ISBLANK(A83), "", VLOOKUP(A83, Menu!$A$2:$D$18, 2, FALSE))</f>
        <v/>
      </c>
      <c r="C83" s="15" t="str">
        <f>IF(ISBLANK(A83), "", VLOOKUP(A83, Menu!$A$2:$D$18, 3, FALSE))</f>
        <v/>
      </c>
      <c r="D83" s="16" t="str">
        <f>IF(ISBLANK(A83), "", VLOOKUP(A83, Menu!$A$2:$D$18, 4, FALSE))</f>
        <v/>
      </c>
      <c r="E83" s="17"/>
      <c r="F83" s="16" t="str">
        <f t="shared" si="1"/>
        <v/>
      </c>
    </row>
    <row r="84" spans="1:6" x14ac:dyDescent="0.25">
      <c r="A84" s="17"/>
      <c r="B84" s="15" t="str">
        <f>IF(ISBLANK(A84), "", VLOOKUP(A84, Menu!$A$2:$D$18, 2, FALSE))</f>
        <v/>
      </c>
      <c r="C84" s="15" t="str">
        <f>IF(ISBLANK(A84), "", VLOOKUP(A84, Menu!$A$2:$D$18, 3, FALSE))</f>
        <v/>
      </c>
      <c r="D84" s="16" t="str">
        <f>IF(ISBLANK(A84), "", VLOOKUP(A84, Menu!$A$2:$D$18, 4, FALSE))</f>
        <v/>
      </c>
      <c r="E84" s="17"/>
      <c r="F84" s="16" t="str">
        <f t="shared" ref="F84:F99" si="2">IF(ISBLANK(A84), "", D84*E84)</f>
        <v/>
      </c>
    </row>
    <row r="85" spans="1:6" x14ac:dyDescent="0.25">
      <c r="A85" s="17"/>
      <c r="B85" s="15" t="str">
        <f>IF(ISBLANK(A85), "", VLOOKUP(A85, Menu!$A$2:$D$18, 2, FALSE))</f>
        <v/>
      </c>
      <c r="C85" s="15" t="str">
        <f>IF(ISBLANK(A85), "", VLOOKUP(A85, Menu!$A$2:$D$18, 3, FALSE))</f>
        <v/>
      </c>
      <c r="D85" s="16" t="str">
        <f>IF(ISBLANK(A85), "", VLOOKUP(A85, Menu!$A$2:$D$18, 4, FALSE))</f>
        <v/>
      </c>
      <c r="E85" s="17"/>
      <c r="F85" s="16" t="str">
        <f t="shared" si="2"/>
        <v/>
      </c>
    </row>
    <row r="86" spans="1:6" x14ac:dyDescent="0.25">
      <c r="A86" s="17"/>
      <c r="B86" s="15" t="str">
        <f>IF(ISBLANK(A86), "", VLOOKUP(A86, Menu!$A$2:$D$18, 2, FALSE))</f>
        <v/>
      </c>
      <c r="C86" s="15" t="str">
        <f>IF(ISBLANK(A86), "", VLOOKUP(A86, Menu!$A$2:$D$18, 3, FALSE))</f>
        <v/>
      </c>
      <c r="D86" s="16" t="str">
        <f>IF(ISBLANK(A86), "", VLOOKUP(A86, Menu!$A$2:$D$18, 4, FALSE))</f>
        <v/>
      </c>
      <c r="E86" s="17"/>
      <c r="F86" s="16" t="str">
        <f t="shared" si="2"/>
        <v/>
      </c>
    </row>
    <row r="87" spans="1:6" x14ac:dyDescent="0.25">
      <c r="A87" s="17"/>
      <c r="B87" s="15" t="str">
        <f>IF(ISBLANK(A87), "", VLOOKUP(A87, Menu!$A$2:$D$18, 2, FALSE))</f>
        <v/>
      </c>
      <c r="C87" s="15" t="str">
        <f>IF(ISBLANK(A87), "", VLOOKUP(A87, Menu!$A$2:$D$18, 3, FALSE))</f>
        <v/>
      </c>
      <c r="D87" s="16" t="str">
        <f>IF(ISBLANK(A87), "", VLOOKUP(A87, Menu!$A$2:$D$18, 4, FALSE))</f>
        <v/>
      </c>
      <c r="E87" s="17"/>
      <c r="F87" s="16" t="str">
        <f t="shared" si="2"/>
        <v/>
      </c>
    </row>
    <row r="88" spans="1:6" x14ac:dyDescent="0.25">
      <c r="A88" s="17"/>
      <c r="B88" s="15" t="str">
        <f>IF(ISBLANK(A88), "", VLOOKUP(A88, Menu!$A$2:$D$18, 2, FALSE))</f>
        <v/>
      </c>
      <c r="C88" s="15" t="str">
        <f>IF(ISBLANK(A88), "", VLOOKUP(A88, Menu!$A$2:$D$18, 3, FALSE))</f>
        <v/>
      </c>
      <c r="D88" s="16" t="str">
        <f>IF(ISBLANK(A88), "", VLOOKUP(A88, Menu!$A$2:$D$18, 4, FALSE))</f>
        <v/>
      </c>
      <c r="E88" s="17"/>
      <c r="F88" s="16" t="str">
        <f t="shared" si="2"/>
        <v/>
      </c>
    </row>
    <row r="89" spans="1:6" x14ac:dyDescent="0.25">
      <c r="A89" s="17"/>
      <c r="B89" s="15" t="str">
        <f>IF(ISBLANK(A89), "", VLOOKUP(A89, Menu!$A$2:$D$18, 2, FALSE))</f>
        <v/>
      </c>
      <c r="C89" s="15" t="str">
        <f>IF(ISBLANK(A89), "", VLOOKUP(A89, Menu!$A$2:$D$18, 3, FALSE))</f>
        <v/>
      </c>
      <c r="D89" s="16" t="str">
        <f>IF(ISBLANK(A89), "", VLOOKUP(A89, Menu!$A$2:$D$18, 4, FALSE))</f>
        <v/>
      </c>
      <c r="E89" s="17"/>
      <c r="F89" s="16" t="str">
        <f t="shared" si="2"/>
        <v/>
      </c>
    </row>
    <row r="90" spans="1:6" x14ac:dyDescent="0.25">
      <c r="A90" s="17"/>
      <c r="B90" s="15" t="str">
        <f>IF(ISBLANK(A90), "", VLOOKUP(A90, Menu!$A$2:$D$18, 2, FALSE))</f>
        <v/>
      </c>
      <c r="C90" s="15" t="str">
        <f>IF(ISBLANK(A90), "", VLOOKUP(A90, Menu!$A$2:$D$18, 3, FALSE))</f>
        <v/>
      </c>
      <c r="D90" s="16" t="str">
        <f>IF(ISBLANK(A90), "", VLOOKUP(A90, Menu!$A$2:$D$18, 4, FALSE))</f>
        <v/>
      </c>
      <c r="E90" s="17"/>
      <c r="F90" s="16" t="str">
        <f t="shared" si="2"/>
        <v/>
      </c>
    </row>
    <row r="91" spans="1:6" x14ac:dyDescent="0.25">
      <c r="A91" s="17"/>
      <c r="B91" s="15" t="str">
        <f>IF(ISBLANK(A91), "", VLOOKUP(A91, Menu!$A$2:$D$18, 2, FALSE))</f>
        <v/>
      </c>
      <c r="C91" s="15" t="str">
        <f>IF(ISBLANK(A91), "", VLOOKUP(A91, Menu!$A$2:$D$18, 3, FALSE))</f>
        <v/>
      </c>
      <c r="D91" s="16" t="str">
        <f>IF(ISBLANK(A91), "", VLOOKUP(A91, Menu!$A$2:$D$18, 4, FALSE))</f>
        <v/>
      </c>
      <c r="E91" s="17"/>
      <c r="F91" s="16" t="str">
        <f t="shared" si="2"/>
        <v/>
      </c>
    </row>
    <row r="92" spans="1:6" x14ac:dyDescent="0.25">
      <c r="A92" s="17"/>
      <c r="B92" s="15" t="str">
        <f>IF(ISBLANK(A92), "", VLOOKUP(A92, Menu!$A$2:$D$18, 2, FALSE))</f>
        <v/>
      </c>
      <c r="C92" s="15" t="str">
        <f>IF(ISBLANK(A92), "", VLOOKUP(A92, Menu!$A$2:$D$18, 3, FALSE))</f>
        <v/>
      </c>
      <c r="D92" s="16" t="str">
        <f>IF(ISBLANK(A92), "", VLOOKUP(A92, Menu!$A$2:$D$18, 4, FALSE))</f>
        <v/>
      </c>
      <c r="E92" s="17"/>
      <c r="F92" s="16" t="str">
        <f t="shared" si="2"/>
        <v/>
      </c>
    </row>
    <row r="93" spans="1:6" x14ac:dyDescent="0.25">
      <c r="A93" s="17"/>
      <c r="B93" s="15" t="str">
        <f>IF(ISBLANK(A93), "", VLOOKUP(A93, Menu!$A$2:$D$18, 2, FALSE))</f>
        <v/>
      </c>
      <c r="C93" s="15" t="str">
        <f>IF(ISBLANK(A93), "", VLOOKUP(A93, Menu!$A$2:$D$18, 3, FALSE))</f>
        <v/>
      </c>
      <c r="D93" s="16" t="str">
        <f>IF(ISBLANK(A93), "", VLOOKUP(A93, Menu!$A$2:$D$18, 4, FALSE))</f>
        <v/>
      </c>
      <c r="E93" s="17"/>
      <c r="F93" s="16" t="str">
        <f t="shared" si="2"/>
        <v/>
      </c>
    </row>
    <row r="94" spans="1:6" x14ac:dyDescent="0.25">
      <c r="A94" s="17"/>
      <c r="B94" s="15" t="str">
        <f>IF(ISBLANK(A94), "", VLOOKUP(A94, Menu!$A$2:$D$18, 2, FALSE))</f>
        <v/>
      </c>
      <c r="C94" s="15" t="str">
        <f>IF(ISBLANK(A94), "", VLOOKUP(A94, Menu!$A$2:$D$18, 3, FALSE))</f>
        <v/>
      </c>
      <c r="D94" s="16" t="str">
        <f>IF(ISBLANK(A94), "", VLOOKUP(A94, Menu!$A$2:$D$18, 4, FALSE))</f>
        <v/>
      </c>
      <c r="E94" s="17"/>
      <c r="F94" s="16" t="str">
        <f t="shared" si="2"/>
        <v/>
      </c>
    </row>
    <row r="95" spans="1:6" x14ac:dyDescent="0.25">
      <c r="A95" s="17"/>
      <c r="B95" s="15" t="str">
        <f>IF(ISBLANK(A95), "", VLOOKUP(A95, Menu!$A$2:$D$18, 2, FALSE))</f>
        <v/>
      </c>
      <c r="C95" s="15" t="str">
        <f>IF(ISBLANK(A95), "", VLOOKUP(A95, Menu!$A$2:$D$18, 3, FALSE))</f>
        <v/>
      </c>
      <c r="D95" s="16" t="str">
        <f>IF(ISBLANK(A95), "", VLOOKUP(A95, Menu!$A$2:$D$18, 4, FALSE))</f>
        <v/>
      </c>
      <c r="E95" s="17"/>
      <c r="F95" s="16" t="str">
        <f t="shared" si="2"/>
        <v/>
      </c>
    </row>
    <row r="96" spans="1:6" x14ac:dyDescent="0.25">
      <c r="A96" s="17"/>
      <c r="B96" s="15" t="str">
        <f>IF(ISBLANK(A96), "", VLOOKUP(A96, Menu!$A$2:$D$18, 2, FALSE))</f>
        <v/>
      </c>
      <c r="C96" s="15" t="str">
        <f>IF(ISBLANK(A96), "", VLOOKUP(A96, Menu!$A$2:$D$18, 3, FALSE))</f>
        <v/>
      </c>
      <c r="D96" s="16" t="str">
        <f>IF(ISBLANK(A96), "", VLOOKUP(A96, Menu!$A$2:$D$18, 4, FALSE))</f>
        <v/>
      </c>
      <c r="E96" s="17"/>
      <c r="F96" s="16" t="str">
        <f t="shared" si="2"/>
        <v/>
      </c>
    </row>
    <row r="97" spans="1:6" x14ac:dyDescent="0.25">
      <c r="A97" s="17"/>
      <c r="B97" s="15" t="str">
        <f>IF(ISBLANK(A97), "", VLOOKUP(A97, Menu!$A$2:$D$18, 2, FALSE))</f>
        <v/>
      </c>
      <c r="C97" s="15" t="str">
        <f>IF(ISBLANK(A97), "", VLOOKUP(A97, Menu!$A$2:$D$18, 3, FALSE))</f>
        <v/>
      </c>
      <c r="D97" s="16" t="str">
        <f>IF(ISBLANK(A97), "", VLOOKUP(A97, Menu!$A$2:$D$18, 4, FALSE))</f>
        <v/>
      </c>
      <c r="E97" s="17"/>
      <c r="F97" s="16" t="str">
        <f t="shared" si="2"/>
        <v/>
      </c>
    </row>
    <row r="98" spans="1:6" x14ac:dyDescent="0.25">
      <c r="A98" s="17"/>
      <c r="B98" s="15" t="str">
        <f>IF(ISBLANK(A98), "", VLOOKUP(A98, Menu!$A$2:$D$18, 2, FALSE))</f>
        <v/>
      </c>
      <c r="C98" s="15" t="str">
        <f>IF(ISBLANK(A98), "", VLOOKUP(A98, Menu!$A$2:$D$18, 3, FALSE))</f>
        <v/>
      </c>
      <c r="D98" s="16" t="str">
        <f>IF(ISBLANK(A98), "", VLOOKUP(A98, Menu!$A$2:$D$18, 4, FALSE))</f>
        <v/>
      </c>
      <c r="E98" s="17"/>
      <c r="F98" s="16" t="str">
        <f t="shared" si="2"/>
        <v/>
      </c>
    </row>
    <row r="99" spans="1:6" x14ac:dyDescent="0.25">
      <c r="A99" s="17"/>
      <c r="B99" s="15" t="str">
        <f>IF(ISBLANK(A99), "", VLOOKUP(A99, Menu!$A$2:$D$18, 2, FALSE))</f>
        <v/>
      </c>
      <c r="C99" s="15" t="str">
        <f>IF(ISBLANK(A99), "", VLOOKUP(A99, Menu!$A$2:$D$18, 3, FALSE))</f>
        <v/>
      </c>
      <c r="D99" s="16" t="str">
        <f>IF(ISBLANK(A99), "", VLOOKUP(A99, Menu!$A$2:$D$18, 4, FALSE))</f>
        <v/>
      </c>
      <c r="E99" s="17"/>
      <c r="F99" s="16" t="str">
        <f t="shared" si="2"/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BFB1F-E4C6-4C6C-B25A-FA4398C2C844}">
  <sheetPr codeName="Sheet5"/>
  <dimension ref="A1:F99"/>
  <sheetViews>
    <sheetView workbookViewId="0">
      <selection activeCell="E9" sqref="E9"/>
    </sheetView>
  </sheetViews>
  <sheetFormatPr defaultRowHeight="15" x14ac:dyDescent="0.25"/>
  <cols>
    <col min="1" max="1" width="60.140625" style="13" bestFit="1" customWidth="1"/>
    <col min="2" max="2" width="46" style="13" bestFit="1" customWidth="1"/>
    <col min="3" max="3" width="39.140625" style="13" customWidth="1"/>
    <col min="4" max="4" width="11" style="13" bestFit="1" customWidth="1"/>
    <col min="5" max="5" width="19" style="13" customWidth="1"/>
    <col min="6" max="6" width="36" style="13" customWidth="1"/>
  </cols>
  <sheetData>
    <row r="1" spans="1:6" ht="20.25" x14ac:dyDescent="0.3">
      <c r="A1" s="1" t="s">
        <v>0</v>
      </c>
      <c r="B1" s="6" t="s">
        <v>14</v>
      </c>
      <c r="C1" s="7">
        <f>SUM(F8:F100)</f>
        <v>0</v>
      </c>
      <c r="F1"/>
    </row>
    <row r="2" spans="1:6" ht="15.75" thickBot="1" x14ac:dyDescent="0.3">
      <c r="A2" s="2" t="s">
        <v>17</v>
      </c>
      <c r="B2" s="6" t="s">
        <v>15</v>
      </c>
      <c r="C2" s="8">
        <v>0</v>
      </c>
      <c r="F2"/>
    </row>
    <row r="3" spans="1:6" ht="15.75" thickBot="1" x14ac:dyDescent="0.3">
      <c r="B3" s="6"/>
      <c r="C3" s="9">
        <f>C1+C2</f>
        <v>0</v>
      </c>
    </row>
    <row r="4" spans="1:6" x14ac:dyDescent="0.25">
      <c r="A4" s="3" t="s">
        <v>2</v>
      </c>
      <c r="B4" s="4" t="s">
        <v>18</v>
      </c>
      <c r="D4" s="3" t="s">
        <v>4</v>
      </c>
      <c r="E4" s="14">
        <f ca="1">TODAY()</f>
        <v>46316</v>
      </c>
    </row>
    <row r="5" spans="1:6" x14ac:dyDescent="0.25">
      <c r="A5" s="3" t="s">
        <v>5</v>
      </c>
      <c r="B5" s="18">
        <v>2</v>
      </c>
      <c r="D5" s="3" t="s">
        <v>6</v>
      </c>
      <c r="E5" s="4" t="s">
        <v>19</v>
      </c>
    </row>
    <row r="6" spans="1:6" ht="15.75" thickBot="1" x14ac:dyDescent="0.3"/>
    <row r="7" spans="1:6" ht="15.75" thickBot="1" x14ac:dyDescent="0.3">
      <c r="A7" s="5" t="s">
        <v>8</v>
      </c>
      <c r="B7" s="5" t="s">
        <v>9</v>
      </c>
      <c r="C7" s="5" t="s">
        <v>10</v>
      </c>
      <c r="D7" s="5" t="s">
        <v>11</v>
      </c>
      <c r="E7" s="5" t="s">
        <v>12</v>
      </c>
      <c r="F7" s="5" t="s">
        <v>13</v>
      </c>
    </row>
    <row r="8" spans="1:6" x14ac:dyDescent="0.25">
      <c r="A8" s="17"/>
      <c r="B8" s="15" t="str">
        <f>IF(ISBLANK(A8), "", VLOOKUP(A8, Menu!$A$2:$D$18, 2, FALSE))</f>
        <v/>
      </c>
      <c r="C8" s="15" t="str">
        <f>IF(ISBLANK(A8), "", VLOOKUP(A8, Menu!$A$2:$D$18, 3, FALSE))</f>
        <v/>
      </c>
      <c r="D8" s="16" t="str">
        <f>IF(ISBLANK(A8), "", VLOOKUP(A8, Menu!$A$2:$D$18, 4, FALSE))</f>
        <v/>
      </c>
      <c r="E8" s="17"/>
      <c r="F8" s="16" t="str">
        <f>IF(ISBLANK(A8), "", D8*E8)</f>
        <v/>
      </c>
    </row>
    <row r="9" spans="1:6" x14ac:dyDescent="0.25">
      <c r="A9" s="17"/>
      <c r="B9" s="15" t="str">
        <f>IF(ISBLANK(A9), "", VLOOKUP(A9, Menu!$A$2:$D$18, 2, FALSE))</f>
        <v/>
      </c>
      <c r="C9" s="15" t="str">
        <f>IF(ISBLANK(A9), "", VLOOKUP(A9, Menu!$A$2:$D$18, 3, FALSE))</f>
        <v/>
      </c>
      <c r="D9" s="16" t="str">
        <f>IF(ISBLANK(A9), "", VLOOKUP(A9, Menu!$A$2:$D$18, 4, FALSE))</f>
        <v/>
      </c>
      <c r="E9" s="17"/>
      <c r="F9" s="16" t="str">
        <f t="shared" ref="F9:F72" si="0">IF(ISBLANK(A9), "", D9*E9)</f>
        <v/>
      </c>
    </row>
    <row r="10" spans="1:6" x14ac:dyDescent="0.25">
      <c r="A10" s="17"/>
      <c r="B10" s="15" t="str">
        <f>IF(ISBLANK(A10), "", VLOOKUP(A10, Menu!$A$2:$D$18, 2, FALSE))</f>
        <v/>
      </c>
      <c r="C10" s="15" t="str">
        <f>IF(ISBLANK(A10), "", VLOOKUP(A10, Menu!$A$2:$D$18, 3, FALSE))</f>
        <v/>
      </c>
      <c r="D10" s="16" t="str">
        <f>IF(ISBLANK(A10), "", VLOOKUP(A10, Menu!$A$2:$D$18, 4, FALSE))</f>
        <v/>
      </c>
      <c r="E10" s="17"/>
      <c r="F10" s="16" t="str">
        <f t="shared" si="0"/>
        <v/>
      </c>
    </row>
    <row r="11" spans="1:6" x14ac:dyDescent="0.25">
      <c r="A11" s="17"/>
      <c r="B11" s="15" t="str">
        <f>IF(ISBLANK(A11), "", VLOOKUP(A11, Menu!$A$2:$D$18, 2, FALSE))</f>
        <v/>
      </c>
      <c r="C11" s="15" t="str">
        <f>IF(ISBLANK(A11), "", VLOOKUP(A11, Menu!$A$2:$D$18, 3, FALSE))</f>
        <v/>
      </c>
      <c r="D11" s="16" t="str">
        <f>IF(ISBLANK(A11), "", VLOOKUP(A11, Menu!$A$2:$D$18, 4, FALSE))</f>
        <v/>
      </c>
      <c r="E11" s="17"/>
      <c r="F11" s="16" t="str">
        <f t="shared" si="0"/>
        <v/>
      </c>
    </row>
    <row r="12" spans="1:6" x14ac:dyDescent="0.25">
      <c r="A12" s="17"/>
      <c r="B12" s="15" t="str">
        <f>IF(ISBLANK(A12), "", VLOOKUP(A12, Menu!$A$2:$D$18, 2, FALSE))</f>
        <v/>
      </c>
      <c r="C12" s="15" t="str">
        <f>IF(ISBLANK(A12), "", VLOOKUP(A12, Menu!$A$2:$D$18, 3, FALSE))</f>
        <v/>
      </c>
      <c r="D12" s="16" t="str">
        <f>IF(ISBLANK(A12), "", VLOOKUP(A12, Menu!$A$2:$D$18, 4, FALSE))</f>
        <v/>
      </c>
      <c r="E12" s="17"/>
      <c r="F12" s="16" t="str">
        <f t="shared" si="0"/>
        <v/>
      </c>
    </row>
    <row r="13" spans="1:6" x14ac:dyDescent="0.25">
      <c r="A13" s="17"/>
      <c r="B13" s="15" t="str">
        <f>IF(ISBLANK(A13), "", VLOOKUP(A13, Menu!$A$2:$D$18, 2, FALSE))</f>
        <v/>
      </c>
      <c r="C13" s="15" t="str">
        <f>IF(ISBLANK(A13), "", VLOOKUP(A13, Menu!$A$2:$D$18, 3, FALSE))</f>
        <v/>
      </c>
      <c r="D13" s="16" t="str">
        <f>IF(ISBLANK(A13), "", VLOOKUP(A13, Menu!$A$2:$D$18, 4, FALSE))</f>
        <v/>
      </c>
      <c r="E13" s="17"/>
      <c r="F13" s="16" t="str">
        <f t="shared" si="0"/>
        <v/>
      </c>
    </row>
    <row r="14" spans="1:6" x14ac:dyDescent="0.25">
      <c r="A14" s="17"/>
      <c r="B14" s="15" t="str">
        <f>IF(ISBLANK(A14), "", VLOOKUP(A14, Menu!$A$2:$D$18, 2, FALSE))</f>
        <v/>
      </c>
      <c r="C14" s="15" t="str">
        <f>IF(ISBLANK(A14), "", VLOOKUP(A14, Menu!$A$2:$D$18, 3, FALSE))</f>
        <v/>
      </c>
      <c r="D14" s="16" t="str">
        <f>IF(ISBLANK(A14), "", VLOOKUP(A14, Menu!$A$2:$D$18, 4, FALSE))</f>
        <v/>
      </c>
      <c r="E14" s="17"/>
      <c r="F14" s="16" t="str">
        <f t="shared" si="0"/>
        <v/>
      </c>
    </row>
    <row r="15" spans="1:6" x14ac:dyDescent="0.25">
      <c r="A15" s="17"/>
      <c r="B15" s="15" t="str">
        <f>IF(ISBLANK(A15), "", VLOOKUP(A15, Menu!$A$2:$D$18, 2, FALSE))</f>
        <v/>
      </c>
      <c r="C15" s="15" t="str">
        <f>IF(ISBLANK(A15), "", VLOOKUP(A15, Menu!$A$2:$D$18, 3, FALSE))</f>
        <v/>
      </c>
      <c r="D15" s="16" t="str">
        <f>IF(ISBLANK(A15), "", VLOOKUP(A15, Menu!$A$2:$D$18, 4, FALSE))</f>
        <v/>
      </c>
      <c r="E15" s="17"/>
      <c r="F15" s="16" t="str">
        <f t="shared" si="0"/>
        <v/>
      </c>
    </row>
    <row r="16" spans="1:6" x14ac:dyDescent="0.25">
      <c r="A16" s="17"/>
      <c r="B16" s="15" t="str">
        <f>IF(ISBLANK(A16), "", VLOOKUP(A16, Menu!$A$2:$D$18, 2, FALSE))</f>
        <v/>
      </c>
      <c r="C16" s="15" t="str">
        <f>IF(ISBLANK(A16), "", VLOOKUP(A16, Menu!$A$2:$D$18, 3, FALSE))</f>
        <v/>
      </c>
      <c r="D16" s="16" t="str">
        <f>IF(ISBLANK(A16), "", VLOOKUP(A16, Menu!$A$2:$D$18, 4, FALSE))</f>
        <v/>
      </c>
      <c r="E16" s="17"/>
      <c r="F16" s="16" t="str">
        <f t="shared" si="0"/>
        <v/>
      </c>
    </row>
    <row r="17" spans="1:6" x14ac:dyDescent="0.25">
      <c r="A17" s="17"/>
      <c r="B17" s="15" t="str">
        <f>IF(ISBLANK(A17), "", VLOOKUP(A17, Menu!$A$2:$D$18, 2, FALSE))</f>
        <v/>
      </c>
      <c r="C17" s="15" t="str">
        <f>IF(ISBLANK(A17), "", VLOOKUP(A17, Menu!$A$2:$D$18, 3, FALSE))</f>
        <v/>
      </c>
      <c r="D17" s="16" t="str">
        <f>IF(ISBLANK(A17), "", VLOOKUP(A17, Menu!$A$2:$D$18, 4, FALSE))</f>
        <v/>
      </c>
      <c r="E17" s="17"/>
      <c r="F17" s="16" t="str">
        <f t="shared" si="0"/>
        <v/>
      </c>
    </row>
    <row r="18" spans="1:6" x14ac:dyDescent="0.25">
      <c r="A18" s="17"/>
      <c r="B18" s="15" t="str">
        <f>IF(ISBLANK(A18), "", VLOOKUP(A18, Menu!$A$2:$D$18, 2, FALSE))</f>
        <v/>
      </c>
      <c r="C18" s="15" t="str">
        <f>IF(ISBLANK(A18), "", VLOOKUP(A18, Menu!$A$2:$D$18, 3, FALSE))</f>
        <v/>
      </c>
      <c r="D18" s="16" t="str">
        <f>IF(ISBLANK(A18), "", VLOOKUP(A18, Menu!$A$2:$D$18, 4, FALSE))</f>
        <v/>
      </c>
      <c r="E18" s="17"/>
      <c r="F18" s="16" t="str">
        <f t="shared" si="0"/>
        <v/>
      </c>
    </row>
    <row r="19" spans="1:6" x14ac:dyDescent="0.25">
      <c r="A19" s="17"/>
      <c r="B19" s="15" t="str">
        <f>IF(ISBLANK(A19), "", VLOOKUP(A19, Menu!$A$2:$D$18, 2, FALSE))</f>
        <v/>
      </c>
      <c r="C19" s="15" t="str">
        <f>IF(ISBLANK(A19), "", VLOOKUP(A19, Menu!$A$2:$D$18, 3, FALSE))</f>
        <v/>
      </c>
      <c r="D19" s="16" t="str">
        <f>IF(ISBLANK(A19), "", VLOOKUP(A19, Menu!$A$2:$D$18, 4, FALSE))</f>
        <v/>
      </c>
      <c r="E19" s="17"/>
      <c r="F19" s="16" t="str">
        <f t="shared" si="0"/>
        <v/>
      </c>
    </row>
    <row r="20" spans="1:6" x14ac:dyDescent="0.25">
      <c r="A20" s="17"/>
      <c r="B20" s="15" t="str">
        <f>IF(ISBLANK(A20), "", VLOOKUP(A20, Menu!$A$2:$D$18, 2, FALSE))</f>
        <v/>
      </c>
      <c r="C20" s="15" t="str">
        <f>IF(ISBLANK(A20), "", VLOOKUP(A20, Menu!$A$2:$D$18, 3, FALSE))</f>
        <v/>
      </c>
      <c r="D20" s="16" t="str">
        <f>IF(ISBLANK(A20), "", VLOOKUP(A20, Menu!$A$2:$D$18, 4, FALSE))</f>
        <v/>
      </c>
      <c r="E20" s="17"/>
      <c r="F20" s="16" t="str">
        <f t="shared" si="0"/>
        <v/>
      </c>
    </row>
    <row r="21" spans="1:6" x14ac:dyDescent="0.25">
      <c r="A21" s="17"/>
      <c r="B21" s="15" t="str">
        <f>IF(ISBLANK(A21), "", VLOOKUP(A21, Menu!$A$2:$D$18, 2, FALSE))</f>
        <v/>
      </c>
      <c r="C21" s="15" t="str">
        <f>IF(ISBLANK(A21), "", VLOOKUP(A21, Menu!$A$2:$D$18, 3, FALSE))</f>
        <v/>
      </c>
      <c r="D21" s="16" t="str">
        <f>IF(ISBLANK(A21), "", VLOOKUP(A21, Menu!$A$2:$D$18, 4, FALSE))</f>
        <v/>
      </c>
      <c r="E21" s="17"/>
      <c r="F21" s="16" t="str">
        <f t="shared" si="0"/>
        <v/>
      </c>
    </row>
    <row r="22" spans="1:6" x14ac:dyDescent="0.25">
      <c r="A22" s="17"/>
      <c r="B22" s="15" t="str">
        <f>IF(ISBLANK(A22), "", VLOOKUP(A22, Menu!$A$2:$D$18, 2, FALSE))</f>
        <v/>
      </c>
      <c r="C22" s="15" t="str">
        <f>IF(ISBLANK(A22), "", VLOOKUP(A22, Menu!$A$2:$D$18, 3, FALSE))</f>
        <v/>
      </c>
      <c r="D22" s="16" t="str">
        <f>IF(ISBLANK(A22), "", VLOOKUP(A22, Menu!$A$2:$D$18, 4, FALSE))</f>
        <v/>
      </c>
      <c r="E22" s="17"/>
      <c r="F22" s="16" t="str">
        <f t="shared" si="0"/>
        <v/>
      </c>
    </row>
    <row r="23" spans="1:6" x14ac:dyDescent="0.25">
      <c r="A23" s="17"/>
      <c r="B23" s="15" t="str">
        <f>IF(ISBLANK(A23), "", VLOOKUP(A23, Menu!$A$2:$D$18, 2, FALSE))</f>
        <v/>
      </c>
      <c r="C23" s="15" t="str">
        <f>IF(ISBLANK(A23), "", VLOOKUP(A23, Menu!$A$2:$D$18, 3, FALSE))</f>
        <v/>
      </c>
      <c r="D23" s="16" t="str">
        <f>IF(ISBLANK(A23), "", VLOOKUP(A23, Menu!$A$2:$D$18, 4, FALSE))</f>
        <v/>
      </c>
      <c r="E23" s="17"/>
      <c r="F23" s="16" t="str">
        <f t="shared" si="0"/>
        <v/>
      </c>
    </row>
    <row r="24" spans="1:6" x14ac:dyDescent="0.25">
      <c r="A24" s="17"/>
      <c r="B24" s="15" t="str">
        <f>IF(ISBLANK(A24), "", VLOOKUP(A24, Menu!$A$2:$D$18, 2, FALSE))</f>
        <v/>
      </c>
      <c r="C24" s="15" t="str">
        <f>IF(ISBLANK(A24), "", VLOOKUP(A24, Menu!$A$2:$D$18, 3, FALSE))</f>
        <v/>
      </c>
      <c r="D24" s="16" t="str">
        <f>IF(ISBLANK(A24), "", VLOOKUP(A24, Menu!$A$2:$D$18, 4, FALSE))</f>
        <v/>
      </c>
      <c r="E24" s="17"/>
      <c r="F24" s="16" t="str">
        <f t="shared" si="0"/>
        <v/>
      </c>
    </row>
    <row r="25" spans="1:6" x14ac:dyDescent="0.25">
      <c r="A25" s="17"/>
      <c r="B25" s="15" t="str">
        <f>IF(ISBLANK(A25), "", VLOOKUP(A25, Menu!$A$2:$D$18, 2, FALSE))</f>
        <v/>
      </c>
      <c r="C25" s="15" t="str">
        <f>IF(ISBLANK(A25), "", VLOOKUP(A25, Menu!$A$2:$D$18, 3, FALSE))</f>
        <v/>
      </c>
      <c r="D25" s="16" t="str">
        <f>IF(ISBLANK(A25), "", VLOOKUP(A25, Menu!$A$2:$D$18, 4, FALSE))</f>
        <v/>
      </c>
      <c r="E25" s="17"/>
      <c r="F25" s="16" t="str">
        <f t="shared" si="0"/>
        <v/>
      </c>
    </row>
    <row r="26" spans="1:6" x14ac:dyDescent="0.25">
      <c r="A26" s="17"/>
      <c r="B26" s="15" t="str">
        <f>IF(ISBLANK(A26), "", VLOOKUP(A26, Menu!$A$2:$D$18, 2, FALSE))</f>
        <v/>
      </c>
      <c r="C26" s="15" t="str">
        <f>IF(ISBLANK(A26), "", VLOOKUP(A26, Menu!$A$2:$D$18, 3, FALSE))</f>
        <v/>
      </c>
      <c r="D26" s="16" t="str">
        <f>IF(ISBLANK(A26), "", VLOOKUP(A26, Menu!$A$2:$D$18, 4, FALSE))</f>
        <v/>
      </c>
      <c r="E26" s="17"/>
      <c r="F26" s="16" t="str">
        <f t="shared" si="0"/>
        <v/>
      </c>
    </row>
    <row r="27" spans="1:6" x14ac:dyDescent="0.25">
      <c r="A27" s="17"/>
      <c r="B27" s="15" t="str">
        <f>IF(ISBLANK(A27), "", VLOOKUP(A27, Menu!$A$2:$D$18, 2, FALSE))</f>
        <v/>
      </c>
      <c r="C27" s="15" t="str">
        <f>IF(ISBLANK(A27), "", VLOOKUP(A27, Menu!$A$2:$D$18, 3, FALSE))</f>
        <v/>
      </c>
      <c r="D27" s="16" t="str">
        <f>IF(ISBLANK(A27), "", VLOOKUP(A27, Menu!$A$2:$D$18, 4, FALSE))</f>
        <v/>
      </c>
      <c r="E27" s="17"/>
      <c r="F27" s="16" t="str">
        <f t="shared" si="0"/>
        <v/>
      </c>
    </row>
    <row r="28" spans="1:6" x14ac:dyDescent="0.25">
      <c r="A28" s="17"/>
      <c r="B28" s="15" t="str">
        <f>IF(ISBLANK(A28), "", VLOOKUP(A28, Menu!$A$2:$D$18, 2, FALSE))</f>
        <v/>
      </c>
      <c r="C28" s="15" t="str">
        <f>IF(ISBLANK(A28), "", VLOOKUP(A28, Menu!$A$2:$D$18, 3, FALSE))</f>
        <v/>
      </c>
      <c r="D28" s="16" t="str">
        <f>IF(ISBLANK(A28), "", VLOOKUP(A28, Menu!$A$2:$D$18, 4, FALSE))</f>
        <v/>
      </c>
      <c r="E28" s="17"/>
      <c r="F28" s="16" t="str">
        <f t="shared" si="0"/>
        <v/>
      </c>
    </row>
    <row r="29" spans="1:6" x14ac:dyDescent="0.25">
      <c r="A29" s="17"/>
      <c r="B29" s="15" t="str">
        <f>IF(ISBLANK(A29), "", VLOOKUP(A29, Menu!$A$2:$D$18, 2, FALSE))</f>
        <v/>
      </c>
      <c r="C29" s="15" t="str">
        <f>IF(ISBLANK(A29), "", VLOOKUP(A29, Menu!$A$2:$D$18, 3, FALSE))</f>
        <v/>
      </c>
      <c r="D29" s="16" t="str">
        <f>IF(ISBLANK(A29), "", VLOOKUP(A29, Menu!$A$2:$D$18, 4, FALSE))</f>
        <v/>
      </c>
      <c r="E29" s="17"/>
      <c r="F29" s="16" t="str">
        <f t="shared" si="0"/>
        <v/>
      </c>
    </row>
    <row r="30" spans="1:6" x14ac:dyDescent="0.25">
      <c r="A30" s="17"/>
      <c r="B30" s="15" t="str">
        <f>IF(ISBLANK(A30), "", VLOOKUP(A30, Menu!$A$2:$D$18, 2, FALSE))</f>
        <v/>
      </c>
      <c r="C30" s="15" t="str">
        <f>IF(ISBLANK(A30), "", VLOOKUP(A30, Menu!$A$2:$D$18, 3, FALSE))</f>
        <v/>
      </c>
      <c r="D30" s="16" t="str">
        <f>IF(ISBLANK(A30), "", VLOOKUP(A30, Menu!$A$2:$D$18, 4, FALSE))</f>
        <v/>
      </c>
      <c r="E30" s="17"/>
      <c r="F30" s="16" t="str">
        <f t="shared" si="0"/>
        <v/>
      </c>
    </row>
    <row r="31" spans="1:6" x14ac:dyDescent="0.25">
      <c r="A31" s="17"/>
      <c r="B31" s="15" t="str">
        <f>IF(ISBLANK(A31), "", VLOOKUP(A31, Menu!$A$2:$D$18, 2, FALSE))</f>
        <v/>
      </c>
      <c r="C31" s="15" t="str">
        <f>IF(ISBLANK(A31), "", VLOOKUP(A31, Menu!$A$2:$D$18, 3, FALSE))</f>
        <v/>
      </c>
      <c r="D31" s="16" t="str">
        <f>IF(ISBLANK(A31), "", VLOOKUP(A31, Menu!$A$2:$D$18, 4, FALSE))</f>
        <v/>
      </c>
      <c r="E31" s="17"/>
      <c r="F31" s="16" t="str">
        <f t="shared" si="0"/>
        <v/>
      </c>
    </row>
    <row r="32" spans="1:6" x14ac:dyDescent="0.25">
      <c r="A32" s="17"/>
      <c r="B32" s="15" t="str">
        <f>IF(ISBLANK(A32), "", VLOOKUP(A32, Menu!$A$2:$D$18, 2, FALSE))</f>
        <v/>
      </c>
      <c r="C32" s="15" t="str">
        <f>IF(ISBLANK(A32), "", VLOOKUP(A32, Menu!$A$2:$D$18, 3, FALSE))</f>
        <v/>
      </c>
      <c r="D32" s="16" t="str">
        <f>IF(ISBLANK(A32), "", VLOOKUP(A32, Menu!$A$2:$D$18, 4, FALSE))</f>
        <v/>
      </c>
      <c r="E32" s="17"/>
      <c r="F32" s="16" t="str">
        <f t="shared" si="0"/>
        <v/>
      </c>
    </row>
    <row r="33" spans="1:6" x14ac:dyDescent="0.25">
      <c r="A33" s="17"/>
      <c r="B33" s="15" t="str">
        <f>IF(ISBLANK(A33), "", VLOOKUP(A33, Menu!$A$2:$D$18, 2, FALSE))</f>
        <v/>
      </c>
      <c r="C33" s="15" t="str">
        <f>IF(ISBLANK(A33), "", VLOOKUP(A33, Menu!$A$2:$D$18, 3, FALSE))</f>
        <v/>
      </c>
      <c r="D33" s="16" t="str">
        <f>IF(ISBLANK(A33), "", VLOOKUP(A33, Menu!$A$2:$D$18, 4, FALSE))</f>
        <v/>
      </c>
      <c r="E33" s="17"/>
      <c r="F33" s="16" t="str">
        <f t="shared" si="0"/>
        <v/>
      </c>
    </row>
    <row r="34" spans="1:6" x14ac:dyDescent="0.25">
      <c r="A34" s="17"/>
      <c r="B34" s="15" t="str">
        <f>IF(ISBLANK(A34), "", VLOOKUP(A34, Menu!$A$2:$D$18, 2, FALSE))</f>
        <v/>
      </c>
      <c r="C34" s="15" t="str">
        <f>IF(ISBLANK(A34), "", VLOOKUP(A34, Menu!$A$2:$D$18, 3, FALSE))</f>
        <v/>
      </c>
      <c r="D34" s="16" t="str">
        <f>IF(ISBLANK(A34), "", VLOOKUP(A34, Menu!$A$2:$D$18, 4, FALSE))</f>
        <v/>
      </c>
      <c r="E34" s="17"/>
      <c r="F34" s="16" t="str">
        <f t="shared" si="0"/>
        <v/>
      </c>
    </row>
    <row r="35" spans="1:6" x14ac:dyDescent="0.25">
      <c r="A35" s="17"/>
      <c r="B35" s="15" t="str">
        <f>IF(ISBLANK(A35), "", VLOOKUP(A35, Menu!$A$2:$D$18, 2, FALSE))</f>
        <v/>
      </c>
      <c r="C35" s="15" t="str">
        <f>IF(ISBLANK(A35), "", VLOOKUP(A35, Menu!$A$2:$D$18, 3, FALSE))</f>
        <v/>
      </c>
      <c r="D35" s="16" t="str">
        <f>IF(ISBLANK(A35), "", VLOOKUP(A35, Menu!$A$2:$D$18, 4, FALSE))</f>
        <v/>
      </c>
      <c r="E35" s="17"/>
      <c r="F35" s="16" t="str">
        <f t="shared" si="0"/>
        <v/>
      </c>
    </row>
    <row r="36" spans="1:6" x14ac:dyDescent="0.25">
      <c r="A36" s="17"/>
      <c r="B36" s="15" t="str">
        <f>IF(ISBLANK(A36), "", VLOOKUP(A36, Menu!$A$2:$D$18, 2, FALSE))</f>
        <v/>
      </c>
      <c r="C36" s="15" t="str">
        <f>IF(ISBLANK(A36), "", VLOOKUP(A36, Menu!$A$2:$D$18, 3, FALSE))</f>
        <v/>
      </c>
      <c r="D36" s="16" t="str">
        <f>IF(ISBLANK(A36), "", VLOOKUP(A36, Menu!$A$2:$D$18, 4, FALSE))</f>
        <v/>
      </c>
      <c r="E36" s="17"/>
      <c r="F36" s="16" t="str">
        <f t="shared" si="0"/>
        <v/>
      </c>
    </row>
    <row r="37" spans="1:6" x14ac:dyDescent="0.25">
      <c r="A37" s="17"/>
      <c r="B37" s="15" t="str">
        <f>IF(ISBLANK(A37), "", VLOOKUP(A37, Menu!$A$2:$D$18, 2, FALSE))</f>
        <v/>
      </c>
      <c r="C37" s="15" t="str">
        <f>IF(ISBLANK(A37), "", VLOOKUP(A37, Menu!$A$2:$D$18, 3, FALSE))</f>
        <v/>
      </c>
      <c r="D37" s="16" t="str">
        <f>IF(ISBLANK(A37), "", VLOOKUP(A37, Menu!$A$2:$D$18, 4, FALSE))</f>
        <v/>
      </c>
      <c r="E37" s="17"/>
      <c r="F37" s="16" t="str">
        <f t="shared" si="0"/>
        <v/>
      </c>
    </row>
    <row r="38" spans="1:6" x14ac:dyDescent="0.25">
      <c r="A38" s="17"/>
      <c r="B38" s="15" t="str">
        <f>IF(ISBLANK(A38), "", VLOOKUP(A38, Menu!$A$2:$D$18, 2, FALSE))</f>
        <v/>
      </c>
      <c r="C38" s="15" t="str">
        <f>IF(ISBLANK(A38), "", VLOOKUP(A38, Menu!$A$2:$D$18, 3, FALSE))</f>
        <v/>
      </c>
      <c r="D38" s="16" t="str">
        <f>IF(ISBLANK(A38), "", VLOOKUP(A38, Menu!$A$2:$D$18, 4, FALSE))</f>
        <v/>
      </c>
      <c r="E38" s="17"/>
      <c r="F38" s="16" t="str">
        <f t="shared" si="0"/>
        <v/>
      </c>
    </row>
    <row r="39" spans="1:6" x14ac:dyDescent="0.25">
      <c r="A39" s="17"/>
      <c r="B39" s="15" t="str">
        <f>IF(ISBLANK(A39), "", VLOOKUP(A39, Menu!$A$2:$D$18, 2, FALSE))</f>
        <v/>
      </c>
      <c r="C39" s="15" t="str">
        <f>IF(ISBLANK(A39), "", VLOOKUP(A39, Menu!$A$2:$D$18, 3, FALSE))</f>
        <v/>
      </c>
      <c r="D39" s="16" t="str">
        <f>IF(ISBLANK(A39), "", VLOOKUP(A39, Menu!$A$2:$D$18, 4, FALSE))</f>
        <v/>
      </c>
      <c r="E39" s="17"/>
      <c r="F39" s="16" t="str">
        <f t="shared" si="0"/>
        <v/>
      </c>
    </row>
    <row r="40" spans="1:6" x14ac:dyDescent="0.25">
      <c r="A40" s="17"/>
      <c r="B40" s="15" t="str">
        <f>IF(ISBLANK(A40), "", VLOOKUP(A40, Menu!$A$2:$D$18, 2, FALSE))</f>
        <v/>
      </c>
      <c r="C40" s="15" t="str">
        <f>IF(ISBLANK(A40), "", VLOOKUP(A40, Menu!$A$2:$D$18, 3, FALSE))</f>
        <v/>
      </c>
      <c r="D40" s="16" t="str">
        <f>IF(ISBLANK(A40), "", VLOOKUP(A40, Menu!$A$2:$D$18, 4, FALSE))</f>
        <v/>
      </c>
      <c r="E40" s="17"/>
      <c r="F40" s="16" t="str">
        <f t="shared" si="0"/>
        <v/>
      </c>
    </row>
    <row r="41" spans="1:6" x14ac:dyDescent="0.25">
      <c r="A41" s="17"/>
      <c r="B41" s="15" t="str">
        <f>IF(ISBLANK(A41), "", VLOOKUP(A41, Menu!$A$2:$D$18, 2, FALSE))</f>
        <v/>
      </c>
      <c r="C41" s="15" t="str">
        <f>IF(ISBLANK(A41), "", VLOOKUP(A41, Menu!$A$2:$D$18, 3, FALSE))</f>
        <v/>
      </c>
      <c r="D41" s="16" t="str">
        <f>IF(ISBLANK(A41), "", VLOOKUP(A41, Menu!$A$2:$D$18, 4, FALSE))</f>
        <v/>
      </c>
      <c r="E41" s="17"/>
      <c r="F41" s="16" t="str">
        <f t="shared" si="0"/>
        <v/>
      </c>
    </row>
    <row r="42" spans="1:6" x14ac:dyDescent="0.25">
      <c r="A42" s="17"/>
      <c r="B42" s="15" t="str">
        <f>IF(ISBLANK(A42), "", VLOOKUP(A42, Menu!$A$2:$D$18, 2, FALSE))</f>
        <v/>
      </c>
      <c r="C42" s="15" t="str">
        <f>IF(ISBLANK(A42), "", VLOOKUP(A42, Menu!$A$2:$D$18, 3, FALSE))</f>
        <v/>
      </c>
      <c r="D42" s="16" t="str">
        <f>IF(ISBLANK(A42), "", VLOOKUP(A42, Menu!$A$2:$D$18, 4, FALSE))</f>
        <v/>
      </c>
      <c r="E42" s="17"/>
      <c r="F42" s="16" t="str">
        <f t="shared" si="0"/>
        <v/>
      </c>
    </row>
    <row r="43" spans="1:6" x14ac:dyDescent="0.25">
      <c r="A43" s="17"/>
      <c r="B43" s="15" t="str">
        <f>IF(ISBLANK(A43), "", VLOOKUP(A43, Menu!$A$2:$D$18, 2, FALSE))</f>
        <v/>
      </c>
      <c r="C43" s="15" t="str">
        <f>IF(ISBLANK(A43), "", VLOOKUP(A43, Menu!$A$2:$D$18, 3, FALSE))</f>
        <v/>
      </c>
      <c r="D43" s="16" t="str">
        <f>IF(ISBLANK(A43), "", VLOOKUP(A43, Menu!$A$2:$D$18, 4, FALSE))</f>
        <v/>
      </c>
      <c r="E43" s="17"/>
      <c r="F43" s="16" t="str">
        <f t="shared" si="0"/>
        <v/>
      </c>
    </row>
    <row r="44" spans="1:6" x14ac:dyDescent="0.25">
      <c r="A44" s="17"/>
      <c r="B44" s="15" t="str">
        <f>IF(ISBLANK(A44), "", VLOOKUP(A44, Menu!$A$2:$D$18, 2, FALSE))</f>
        <v/>
      </c>
      <c r="C44" s="15" t="str">
        <f>IF(ISBLANK(A44), "", VLOOKUP(A44, Menu!$A$2:$D$18, 3, FALSE))</f>
        <v/>
      </c>
      <c r="D44" s="16" t="str">
        <f>IF(ISBLANK(A44), "", VLOOKUP(A44, Menu!$A$2:$D$18, 4, FALSE))</f>
        <v/>
      </c>
      <c r="E44" s="17"/>
      <c r="F44" s="16" t="str">
        <f t="shared" si="0"/>
        <v/>
      </c>
    </row>
    <row r="45" spans="1:6" x14ac:dyDescent="0.25">
      <c r="A45" s="17"/>
      <c r="B45" s="15" t="str">
        <f>IF(ISBLANK(A45), "", VLOOKUP(A45, Menu!$A$2:$D$18, 2, FALSE))</f>
        <v/>
      </c>
      <c r="C45" s="15" t="str">
        <f>IF(ISBLANK(A45), "", VLOOKUP(A45, Menu!$A$2:$D$18, 3, FALSE))</f>
        <v/>
      </c>
      <c r="D45" s="16" t="str">
        <f>IF(ISBLANK(A45), "", VLOOKUP(A45, Menu!$A$2:$D$18, 4, FALSE))</f>
        <v/>
      </c>
      <c r="E45" s="17"/>
      <c r="F45" s="16" t="str">
        <f t="shared" si="0"/>
        <v/>
      </c>
    </row>
    <row r="46" spans="1:6" x14ac:dyDescent="0.25">
      <c r="A46" s="17"/>
      <c r="B46" s="15" t="str">
        <f>IF(ISBLANK(A46), "", VLOOKUP(A46, Menu!$A$2:$D$18, 2, FALSE))</f>
        <v/>
      </c>
      <c r="C46" s="15" t="str">
        <f>IF(ISBLANK(A46), "", VLOOKUP(A46, Menu!$A$2:$D$18, 3, FALSE))</f>
        <v/>
      </c>
      <c r="D46" s="16" t="str">
        <f>IF(ISBLANK(A46), "", VLOOKUP(A46, Menu!$A$2:$D$18, 4, FALSE))</f>
        <v/>
      </c>
      <c r="E46" s="17"/>
      <c r="F46" s="16" t="str">
        <f t="shared" si="0"/>
        <v/>
      </c>
    </row>
    <row r="47" spans="1:6" x14ac:dyDescent="0.25">
      <c r="A47" s="17"/>
      <c r="B47" s="15" t="str">
        <f>IF(ISBLANK(A47), "", VLOOKUP(A47, Menu!$A$2:$D$18, 2, FALSE))</f>
        <v/>
      </c>
      <c r="C47" s="15" t="str">
        <f>IF(ISBLANK(A47), "", VLOOKUP(A47, Menu!$A$2:$D$18, 3, FALSE))</f>
        <v/>
      </c>
      <c r="D47" s="16" t="str">
        <f>IF(ISBLANK(A47), "", VLOOKUP(A47, Menu!$A$2:$D$18, 4, FALSE))</f>
        <v/>
      </c>
      <c r="E47" s="17"/>
      <c r="F47" s="16" t="str">
        <f t="shared" si="0"/>
        <v/>
      </c>
    </row>
    <row r="48" spans="1:6" x14ac:dyDescent="0.25">
      <c r="A48" s="17"/>
      <c r="B48" s="15" t="str">
        <f>IF(ISBLANK(A48), "", VLOOKUP(A48, Menu!$A$2:$D$18, 2, FALSE))</f>
        <v/>
      </c>
      <c r="C48" s="15" t="str">
        <f>IF(ISBLANK(A48), "", VLOOKUP(A48, Menu!$A$2:$D$18, 3, FALSE))</f>
        <v/>
      </c>
      <c r="D48" s="16" t="str">
        <f>IF(ISBLANK(A48), "", VLOOKUP(A48, Menu!$A$2:$D$18, 4, FALSE))</f>
        <v/>
      </c>
      <c r="E48" s="17"/>
      <c r="F48" s="16" t="str">
        <f t="shared" si="0"/>
        <v/>
      </c>
    </row>
    <row r="49" spans="1:6" x14ac:dyDescent="0.25">
      <c r="A49" s="17"/>
      <c r="B49" s="15" t="str">
        <f>IF(ISBLANK(A49), "", VLOOKUP(A49, Menu!$A$2:$D$18, 2, FALSE))</f>
        <v/>
      </c>
      <c r="C49" s="15" t="str">
        <f>IF(ISBLANK(A49), "", VLOOKUP(A49, Menu!$A$2:$D$18, 3, FALSE))</f>
        <v/>
      </c>
      <c r="D49" s="16" t="str">
        <f>IF(ISBLANK(A49), "", VLOOKUP(A49, Menu!$A$2:$D$18, 4, FALSE))</f>
        <v/>
      </c>
      <c r="E49" s="17"/>
      <c r="F49" s="16" t="str">
        <f t="shared" si="0"/>
        <v/>
      </c>
    </row>
    <row r="50" spans="1:6" x14ac:dyDescent="0.25">
      <c r="A50" s="17"/>
      <c r="B50" s="15" t="str">
        <f>IF(ISBLANK(A50), "", VLOOKUP(A50, Menu!$A$2:$D$18, 2, FALSE))</f>
        <v/>
      </c>
      <c r="C50" s="15" t="str">
        <f>IF(ISBLANK(A50), "", VLOOKUP(A50, Menu!$A$2:$D$18, 3, FALSE))</f>
        <v/>
      </c>
      <c r="D50" s="16" t="str">
        <f>IF(ISBLANK(A50), "", VLOOKUP(A50, Menu!$A$2:$D$18, 4, FALSE))</f>
        <v/>
      </c>
      <c r="E50" s="17"/>
      <c r="F50" s="16" t="str">
        <f t="shared" si="0"/>
        <v/>
      </c>
    </row>
    <row r="51" spans="1:6" x14ac:dyDescent="0.25">
      <c r="A51" s="17"/>
      <c r="B51" s="15" t="str">
        <f>IF(ISBLANK(A51), "", VLOOKUP(A51, Menu!$A$2:$D$18, 2, FALSE))</f>
        <v/>
      </c>
      <c r="C51" s="15" t="str">
        <f>IF(ISBLANK(A51), "", VLOOKUP(A51, Menu!$A$2:$D$18, 3, FALSE))</f>
        <v/>
      </c>
      <c r="D51" s="16" t="str">
        <f>IF(ISBLANK(A51), "", VLOOKUP(A51, Menu!$A$2:$D$18, 4, FALSE))</f>
        <v/>
      </c>
      <c r="E51" s="17"/>
      <c r="F51" s="16" t="str">
        <f t="shared" si="0"/>
        <v/>
      </c>
    </row>
    <row r="52" spans="1:6" x14ac:dyDescent="0.25">
      <c r="A52" s="17"/>
      <c r="B52" s="15" t="str">
        <f>IF(ISBLANK(A52), "", VLOOKUP(A52, Menu!$A$2:$D$18, 2, FALSE))</f>
        <v/>
      </c>
      <c r="C52" s="15" t="str">
        <f>IF(ISBLANK(A52), "", VLOOKUP(A52, Menu!$A$2:$D$18, 3, FALSE))</f>
        <v/>
      </c>
      <c r="D52" s="16" t="str">
        <f>IF(ISBLANK(A52), "", VLOOKUP(A52, Menu!$A$2:$D$18, 4, FALSE))</f>
        <v/>
      </c>
      <c r="E52" s="17"/>
      <c r="F52" s="16" t="str">
        <f t="shared" si="0"/>
        <v/>
      </c>
    </row>
    <row r="53" spans="1:6" x14ac:dyDescent="0.25">
      <c r="A53" s="17"/>
      <c r="B53" s="15" t="str">
        <f>IF(ISBLANK(A53), "", VLOOKUP(A53, Menu!$A$2:$D$18, 2, FALSE))</f>
        <v/>
      </c>
      <c r="C53" s="15" t="str">
        <f>IF(ISBLANK(A53), "", VLOOKUP(A53, Menu!$A$2:$D$18, 3, FALSE))</f>
        <v/>
      </c>
      <c r="D53" s="16" t="str">
        <f>IF(ISBLANK(A53), "", VLOOKUP(A53, Menu!$A$2:$D$18, 4, FALSE))</f>
        <v/>
      </c>
      <c r="E53" s="17"/>
      <c r="F53" s="16" t="str">
        <f t="shared" si="0"/>
        <v/>
      </c>
    </row>
    <row r="54" spans="1:6" x14ac:dyDescent="0.25">
      <c r="A54" s="17"/>
      <c r="B54" s="15" t="str">
        <f>IF(ISBLANK(A54), "", VLOOKUP(A54, Menu!$A$2:$D$18, 2, FALSE))</f>
        <v/>
      </c>
      <c r="C54" s="15" t="str">
        <f>IF(ISBLANK(A54), "", VLOOKUP(A54, Menu!$A$2:$D$18, 3, FALSE))</f>
        <v/>
      </c>
      <c r="D54" s="16" t="str">
        <f>IF(ISBLANK(A54), "", VLOOKUP(A54, Menu!$A$2:$D$18, 4, FALSE))</f>
        <v/>
      </c>
      <c r="E54" s="17"/>
      <c r="F54" s="16" t="str">
        <f t="shared" si="0"/>
        <v/>
      </c>
    </row>
    <row r="55" spans="1:6" x14ac:dyDescent="0.25">
      <c r="A55" s="17"/>
      <c r="B55" s="15" t="str">
        <f>IF(ISBLANK(A55), "", VLOOKUP(A55, Menu!$A$2:$D$18, 2, FALSE))</f>
        <v/>
      </c>
      <c r="C55" s="15" t="str">
        <f>IF(ISBLANK(A55), "", VLOOKUP(A55, Menu!$A$2:$D$18, 3, FALSE))</f>
        <v/>
      </c>
      <c r="D55" s="16" t="str">
        <f>IF(ISBLANK(A55), "", VLOOKUP(A55, Menu!$A$2:$D$18, 4, FALSE))</f>
        <v/>
      </c>
      <c r="E55" s="17"/>
      <c r="F55" s="16" t="str">
        <f t="shared" si="0"/>
        <v/>
      </c>
    </row>
    <row r="56" spans="1:6" x14ac:dyDescent="0.25">
      <c r="A56" s="17"/>
      <c r="B56" s="15" t="str">
        <f>IF(ISBLANK(A56), "", VLOOKUP(A56, Menu!$A$2:$D$18, 2, FALSE))</f>
        <v/>
      </c>
      <c r="C56" s="15" t="str">
        <f>IF(ISBLANK(A56), "", VLOOKUP(A56, Menu!$A$2:$D$18, 3, FALSE))</f>
        <v/>
      </c>
      <c r="D56" s="16" t="str">
        <f>IF(ISBLANK(A56), "", VLOOKUP(A56, Menu!$A$2:$D$18, 4, FALSE))</f>
        <v/>
      </c>
      <c r="E56" s="17"/>
      <c r="F56" s="16" t="str">
        <f t="shared" si="0"/>
        <v/>
      </c>
    </row>
    <row r="57" spans="1:6" x14ac:dyDescent="0.25">
      <c r="A57" s="17"/>
      <c r="B57" s="15" t="str">
        <f>IF(ISBLANK(A57), "", VLOOKUP(A57, Menu!$A$2:$D$18, 2, FALSE))</f>
        <v/>
      </c>
      <c r="C57" s="15" t="str">
        <f>IF(ISBLANK(A57), "", VLOOKUP(A57, Menu!$A$2:$D$18, 3, FALSE))</f>
        <v/>
      </c>
      <c r="D57" s="16" t="str">
        <f>IF(ISBLANK(A57), "", VLOOKUP(A57, Menu!$A$2:$D$18, 4, FALSE))</f>
        <v/>
      </c>
      <c r="E57" s="17"/>
      <c r="F57" s="16" t="str">
        <f t="shared" si="0"/>
        <v/>
      </c>
    </row>
    <row r="58" spans="1:6" x14ac:dyDescent="0.25">
      <c r="A58" s="17"/>
      <c r="B58" s="15" t="str">
        <f>IF(ISBLANK(A58), "", VLOOKUP(A58, Menu!$A$2:$D$18, 2, FALSE))</f>
        <v/>
      </c>
      <c r="C58" s="15" t="str">
        <f>IF(ISBLANK(A58), "", VLOOKUP(A58, Menu!$A$2:$D$18, 3, FALSE))</f>
        <v/>
      </c>
      <c r="D58" s="16" t="str">
        <f>IF(ISBLANK(A58), "", VLOOKUP(A58, Menu!$A$2:$D$18, 4, FALSE))</f>
        <v/>
      </c>
      <c r="E58" s="17"/>
      <c r="F58" s="16" t="str">
        <f t="shared" si="0"/>
        <v/>
      </c>
    </row>
    <row r="59" spans="1:6" x14ac:dyDescent="0.25">
      <c r="A59" s="17"/>
      <c r="B59" s="15" t="str">
        <f>IF(ISBLANK(A59), "", VLOOKUP(A59, Menu!$A$2:$D$18, 2, FALSE))</f>
        <v/>
      </c>
      <c r="C59" s="15" t="str">
        <f>IF(ISBLANK(A59), "", VLOOKUP(A59, Menu!$A$2:$D$18, 3, FALSE))</f>
        <v/>
      </c>
      <c r="D59" s="16" t="str">
        <f>IF(ISBLANK(A59), "", VLOOKUP(A59, Menu!$A$2:$D$18, 4, FALSE))</f>
        <v/>
      </c>
      <c r="E59" s="17"/>
      <c r="F59" s="16" t="str">
        <f t="shared" si="0"/>
        <v/>
      </c>
    </row>
    <row r="60" spans="1:6" x14ac:dyDescent="0.25">
      <c r="A60" s="17"/>
      <c r="B60" s="15" t="str">
        <f>IF(ISBLANK(A60), "", VLOOKUP(A60, Menu!$A$2:$D$18, 2, FALSE))</f>
        <v/>
      </c>
      <c r="C60" s="15" t="str">
        <f>IF(ISBLANK(A60), "", VLOOKUP(A60, Menu!$A$2:$D$18, 3, FALSE))</f>
        <v/>
      </c>
      <c r="D60" s="16" t="str">
        <f>IF(ISBLANK(A60), "", VLOOKUP(A60, Menu!$A$2:$D$18, 4, FALSE))</f>
        <v/>
      </c>
      <c r="E60" s="17"/>
      <c r="F60" s="16" t="str">
        <f t="shared" si="0"/>
        <v/>
      </c>
    </row>
    <row r="61" spans="1:6" x14ac:dyDescent="0.25">
      <c r="A61" s="17"/>
      <c r="B61" s="15" t="str">
        <f>IF(ISBLANK(A61), "", VLOOKUP(A61, Menu!$A$2:$D$18, 2, FALSE))</f>
        <v/>
      </c>
      <c r="C61" s="15" t="str">
        <f>IF(ISBLANK(A61), "", VLOOKUP(A61, Menu!$A$2:$D$18, 3, FALSE))</f>
        <v/>
      </c>
      <c r="D61" s="16" t="str">
        <f>IF(ISBLANK(A61), "", VLOOKUP(A61, Menu!$A$2:$D$18, 4, FALSE))</f>
        <v/>
      </c>
      <c r="E61" s="17"/>
      <c r="F61" s="16" t="str">
        <f t="shared" si="0"/>
        <v/>
      </c>
    </row>
    <row r="62" spans="1:6" x14ac:dyDescent="0.25">
      <c r="A62" s="17"/>
      <c r="B62" s="15" t="str">
        <f>IF(ISBLANK(A62), "", VLOOKUP(A62, Menu!$A$2:$D$18, 2, FALSE))</f>
        <v/>
      </c>
      <c r="C62" s="15" t="str">
        <f>IF(ISBLANK(A62), "", VLOOKUP(A62, Menu!$A$2:$D$18, 3, FALSE))</f>
        <v/>
      </c>
      <c r="D62" s="16" t="str">
        <f>IF(ISBLANK(A62), "", VLOOKUP(A62, Menu!$A$2:$D$18, 4, FALSE))</f>
        <v/>
      </c>
      <c r="E62" s="17"/>
      <c r="F62" s="16" t="str">
        <f t="shared" si="0"/>
        <v/>
      </c>
    </row>
    <row r="63" spans="1:6" x14ac:dyDescent="0.25">
      <c r="A63" s="17"/>
      <c r="B63" s="15" t="str">
        <f>IF(ISBLANK(A63), "", VLOOKUP(A63, Menu!$A$2:$D$18, 2, FALSE))</f>
        <v/>
      </c>
      <c r="C63" s="15" t="str">
        <f>IF(ISBLANK(A63), "", VLOOKUP(A63, Menu!$A$2:$D$18, 3, FALSE))</f>
        <v/>
      </c>
      <c r="D63" s="16" t="str">
        <f>IF(ISBLANK(A63), "", VLOOKUP(A63, Menu!$A$2:$D$18, 4, FALSE))</f>
        <v/>
      </c>
      <c r="E63" s="17"/>
      <c r="F63" s="16" t="str">
        <f t="shared" si="0"/>
        <v/>
      </c>
    </row>
    <row r="64" spans="1:6" x14ac:dyDescent="0.25">
      <c r="A64" s="17"/>
      <c r="B64" s="15" t="str">
        <f>IF(ISBLANK(A64), "", VLOOKUP(A64, Menu!$A$2:$D$18, 2, FALSE))</f>
        <v/>
      </c>
      <c r="C64" s="15" t="str">
        <f>IF(ISBLANK(A64), "", VLOOKUP(A64, Menu!$A$2:$D$18, 3, FALSE))</f>
        <v/>
      </c>
      <c r="D64" s="16" t="str">
        <f>IF(ISBLANK(A64), "", VLOOKUP(A64, Menu!$A$2:$D$18, 4, FALSE))</f>
        <v/>
      </c>
      <c r="E64" s="17"/>
      <c r="F64" s="16" t="str">
        <f t="shared" si="0"/>
        <v/>
      </c>
    </row>
    <row r="65" spans="1:6" x14ac:dyDescent="0.25">
      <c r="A65" s="17"/>
      <c r="B65" s="15" t="str">
        <f>IF(ISBLANK(A65), "", VLOOKUP(A65, Menu!$A$2:$D$18, 2, FALSE))</f>
        <v/>
      </c>
      <c r="C65" s="15" t="str">
        <f>IF(ISBLANK(A65), "", VLOOKUP(A65, Menu!$A$2:$D$18, 3, FALSE))</f>
        <v/>
      </c>
      <c r="D65" s="16" t="str">
        <f>IF(ISBLANK(A65), "", VLOOKUP(A65, Menu!$A$2:$D$18, 4, FALSE))</f>
        <v/>
      </c>
      <c r="E65" s="17"/>
      <c r="F65" s="16" t="str">
        <f t="shared" si="0"/>
        <v/>
      </c>
    </row>
    <row r="66" spans="1:6" x14ac:dyDescent="0.25">
      <c r="A66" s="17"/>
      <c r="B66" s="15" t="str">
        <f>IF(ISBLANK(A66), "", VLOOKUP(A66, Menu!$A$2:$D$18, 2, FALSE))</f>
        <v/>
      </c>
      <c r="C66" s="15" t="str">
        <f>IF(ISBLANK(A66), "", VLOOKUP(A66, Menu!$A$2:$D$18, 3, FALSE))</f>
        <v/>
      </c>
      <c r="D66" s="16" t="str">
        <f>IF(ISBLANK(A66), "", VLOOKUP(A66, Menu!$A$2:$D$18, 4, FALSE))</f>
        <v/>
      </c>
      <c r="E66" s="17"/>
      <c r="F66" s="16" t="str">
        <f t="shared" si="0"/>
        <v/>
      </c>
    </row>
    <row r="67" spans="1:6" x14ac:dyDescent="0.25">
      <c r="A67" s="17"/>
      <c r="B67" s="15" t="str">
        <f>IF(ISBLANK(A67), "", VLOOKUP(A67, Menu!$A$2:$D$18, 2, FALSE))</f>
        <v/>
      </c>
      <c r="C67" s="15" t="str">
        <f>IF(ISBLANK(A67), "", VLOOKUP(A67, Menu!$A$2:$D$18, 3, FALSE))</f>
        <v/>
      </c>
      <c r="D67" s="16" t="str">
        <f>IF(ISBLANK(A67), "", VLOOKUP(A67, Menu!$A$2:$D$18, 4, FALSE))</f>
        <v/>
      </c>
      <c r="E67" s="17"/>
      <c r="F67" s="16" t="str">
        <f t="shared" si="0"/>
        <v/>
      </c>
    </row>
    <row r="68" spans="1:6" x14ac:dyDescent="0.25">
      <c r="A68" s="17"/>
      <c r="B68" s="15" t="str">
        <f>IF(ISBLANK(A68), "", VLOOKUP(A68, Menu!$A$2:$D$18, 2, FALSE))</f>
        <v/>
      </c>
      <c r="C68" s="15" t="str">
        <f>IF(ISBLANK(A68), "", VLOOKUP(A68, Menu!$A$2:$D$18, 3, FALSE))</f>
        <v/>
      </c>
      <c r="D68" s="16" t="str">
        <f>IF(ISBLANK(A68), "", VLOOKUP(A68, Menu!$A$2:$D$18, 4, FALSE))</f>
        <v/>
      </c>
      <c r="E68" s="17"/>
      <c r="F68" s="16" t="str">
        <f t="shared" si="0"/>
        <v/>
      </c>
    </row>
    <row r="69" spans="1:6" x14ac:dyDescent="0.25">
      <c r="A69" s="17"/>
      <c r="B69" s="15" t="str">
        <f>IF(ISBLANK(A69), "", VLOOKUP(A69, Menu!$A$2:$D$18, 2, FALSE))</f>
        <v/>
      </c>
      <c r="C69" s="15" t="str">
        <f>IF(ISBLANK(A69), "", VLOOKUP(A69, Menu!$A$2:$D$18, 3, FALSE))</f>
        <v/>
      </c>
      <c r="D69" s="16" t="str">
        <f>IF(ISBLANK(A69), "", VLOOKUP(A69, Menu!$A$2:$D$18, 4, FALSE))</f>
        <v/>
      </c>
      <c r="E69" s="17"/>
      <c r="F69" s="16" t="str">
        <f t="shared" si="0"/>
        <v/>
      </c>
    </row>
    <row r="70" spans="1:6" x14ac:dyDescent="0.25">
      <c r="A70" s="17"/>
      <c r="B70" s="15" t="str">
        <f>IF(ISBLANK(A70), "", VLOOKUP(A70, Menu!$A$2:$D$18, 2, FALSE))</f>
        <v/>
      </c>
      <c r="C70" s="15" t="str">
        <f>IF(ISBLANK(A70), "", VLOOKUP(A70, Menu!$A$2:$D$18, 3, FALSE))</f>
        <v/>
      </c>
      <c r="D70" s="16" t="str">
        <f>IF(ISBLANK(A70), "", VLOOKUP(A70, Menu!$A$2:$D$18, 4, FALSE))</f>
        <v/>
      </c>
      <c r="E70" s="17"/>
      <c r="F70" s="16" t="str">
        <f t="shared" si="0"/>
        <v/>
      </c>
    </row>
    <row r="71" spans="1:6" x14ac:dyDescent="0.25">
      <c r="A71" s="17"/>
      <c r="B71" s="15" t="str">
        <f>IF(ISBLANK(A71), "", VLOOKUP(A71, Menu!$A$2:$D$18, 2, FALSE))</f>
        <v/>
      </c>
      <c r="C71" s="15" t="str">
        <f>IF(ISBLANK(A71), "", VLOOKUP(A71, Menu!$A$2:$D$18, 3, FALSE))</f>
        <v/>
      </c>
      <c r="D71" s="16" t="str">
        <f>IF(ISBLANK(A71), "", VLOOKUP(A71, Menu!$A$2:$D$18, 4, FALSE))</f>
        <v/>
      </c>
      <c r="E71" s="17"/>
      <c r="F71" s="16" t="str">
        <f t="shared" si="0"/>
        <v/>
      </c>
    </row>
    <row r="72" spans="1:6" x14ac:dyDescent="0.25">
      <c r="A72" s="17"/>
      <c r="B72" s="15" t="str">
        <f>IF(ISBLANK(A72), "", VLOOKUP(A72, Menu!$A$2:$D$18, 2, FALSE))</f>
        <v/>
      </c>
      <c r="C72" s="15" t="str">
        <f>IF(ISBLANK(A72), "", VLOOKUP(A72, Menu!$A$2:$D$18, 3, FALSE))</f>
        <v/>
      </c>
      <c r="D72" s="16" t="str">
        <f>IF(ISBLANK(A72), "", VLOOKUP(A72, Menu!$A$2:$D$18, 4, FALSE))</f>
        <v/>
      </c>
      <c r="E72" s="17"/>
      <c r="F72" s="16" t="str">
        <f t="shared" si="0"/>
        <v/>
      </c>
    </row>
    <row r="73" spans="1:6" x14ac:dyDescent="0.25">
      <c r="A73" s="17"/>
      <c r="B73" s="15" t="str">
        <f>IF(ISBLANK(A73), "", VLOOKUP(A73, Menu!$A$2:$D$18, 2, FALSE))</f>
        <v/>
      </c>
      <c r="C73" s="15" t="str">
        <f>IF(ISBLANK(A73), "", VLOOKUP(A73, Menu!$A$2:$D$18, 3, FALSE))</f>
        <v/>
      </c>
      <c r="D73" s="16" t="str">
        <f>IF(ISBLANK(A73), "", VLOOKUP(A73, Menu!$A$2:$D$18, 4, FALSE))</f>
        <v/>
      </c>
      <c r="E73" s="17"/>
      <c r="F73" s="16" t="str">
        <f t="shared" ref="F73:F99" si="1">IF(ISBLANK(A73), "", D73*E73)</f>
        <v/>
      </c>
    </row>
    <row r="74" spans="1:6" x14ac:dyDescent="0.25">
      <c r="A74" s="17"/>
      <c r="B74" s="15" t="str">
        <f>IF(ISBLANK(A74), "", VLOOKUP(A74, Menu!$A$2:$D$18, 2, FALSE))</f>
        <v/>
      </c>
      <c r="C74" s="15" t="str">
        <f>IF(ISBLANK(A74), "", VLOOKUP(A74, Menu!$A$2:$D$18, 3, FALSE))</f>
        <v/>
      </c>
      <c r="D74" s="16" t="str">
        <f>IF(ISBLANK(A74), "", VLOOKUP(A74, Menu!$A$2:$D$18, 4, FALSE))</f>
        <v/>
      </c>
      <c r="E74" s="17"/>
      <c r="F74" s="16" t="str">
        <f t="shared" si="1"/>
        <v/>
      </c>
    </row>
    <row r="75" spans="1:6" x14ac:dyDescent="0.25">
      <c r="A75" s="17"/>
      <c r="B75" s="15" t="str">
        <f>IF(ISBLANK(A75), "", VLOOKUP(A75, Menu!$A$2:$D$18, 2, FALSE))</f>
        <v/>
      </c>
      <c r="C75" s="15" t="str">
        <f>IF(ISBLANK(A75), "", VLOOKUP(A75, Menu!$A$2:$D$18, 3, FALSE))</f>
        <v/>
      </c>
      <c r="D75" s="16" t="str">
        <f>IF(ISBLANK(A75), "", VLOOKUP(A75, Menu!$A$2:$D$18, 4, FALSE))</f>
        <v/>
      </c>
      <c r="E75" s="17"/>
      <c r="F75" s="16" t="str">
        <f t="shared" si="1"/>
        <v/>
      </c>
    </row>
    <row r="76" spans="1:6" x14ac:dyDescent="0.25">
      <c r="A76" s="17"/>
      <c r="B76" s="15" t="str">
        <f>IF(ISBLANK(A76), "", VLOOKUP(A76, Menu!$A$2:$D$18, 2, FALSE))</f>
        <v/>
      </c>
      <c r="C76" s="15" t="str">
        <f>IF(ISBLANK(A76), "", VLOOKUP(A76, Menu!$A$2:$D$18, 3, FALSE))</f>
        <v/>
      </c>
      <c r="D76" s="16" t="str">
        <f>IF(ISBLANK(A76), "", VLOOKUP(A76, Menu!$A$2:$D$18, 4, FALSE))</f>
        <v/>
      </c>
      <c r="E76" s="17"/>
      <c r="F76" s="16" t="str">
        <f t="shared" si="1"/>
        <v/>
      </c>
    </row>
    <row r="77" spans="1:6" x14ac:dyDescent="0.25">
      <c r="A77" s="17"/>
      <c r="B77" s="15" t="str">
        <f>IF(ISBLANK(A77), "", VLOOKUP(A77, Menu!$A$2:$D$18, 2, FALSE))</f>
        <v/>
      </c>
      <c r="C77" s="15" t="str">
        <f>IF(ISBLANK(A77), "", VLOOKUP(A77, Menu!$A$2:$D$18, 3, FALSE))</f>
        <v/>
      </c>
      <c r="D77" s="16" t="str">
        <f>IF(ISBLANK(A77), "", VLOOKUP(A77, Menu!$A$2:$D$18, 4, FALSE))</f>
        <v/>
      </c>
      <c r="E77" s="17"/>
      <c r="F77" s="16" t="str">
        <f t="shared" si="1"/>
        <v/>
      </c>
    </row>
    <row r="78" spans="1:6" x14ac:dyDescent="0.25">
      <c r="A78" s="17"/>
      <c r="B78" s="15" t="str">
        <f>IF(ISBLANK(A78), "", VLOOKUP(A78, Menu!$A$2:$D$18, 2, FALSE))</f>
        <v/>
      </c>
      <c r="C78" s="15" t="str">
        <f>IF(ISBLANK(A78), "", VLOOKUP(A78, Menu!$A$2:$D$18, 3, FALSE))</f>
        <v/>
      </c>
      <c r="D78" s="16" t="str">
        <f>IF(ISBLANK(A78), "", VLOOKUP(A78, Menu!$A$2:$D$18, 4, FALSE))</f>
        <v/>
      </c>
      <c r="E78" s="17"/>
      <c r="F78" s="16" t="str">
        <f t="shared" si="1"/>
        <v/>
      </c>
    </row>
    <row r="79" spans="1:6" x14ac:dyDescent="0.25">
      <c r="A79" s="17"/>
      <c r="B79" s="15" t="str">
        <f>IF(ISBLANK(A79), "", VLOOKUP(A79, Menu!$A$2:$D$18, 2, FALSE))</f>
        <v/>
      </c>
      <c r="C79" s="15" t="str">
        <f>IF(ISBLANK(A79), "", VLOOKUP(A79, Menu!$A$2:$D$18, 3, FALSE))</f>
        <v/>
      </c>
      <c r="D79" s="16" t="str">
        <f>IF(ISBLANK(A79), "", VLOOKUP(A79, Menu!$A$2:$D$18, 4, FALSE))</f>
        <v/>
      </c>
      <c r="E79" s="17"/>
      <c r="F79" s="16" t="str">
        <f t="shared" si="1"/>
        <v/>
      </c>
    </row>
    <row r="80" spans="1:6" x14ac:dyDescent="0.25">
      <c r="A80" s="17"/>
      <c r="B80" s="15" t="str">
        <f>IF(ISBLANK(A80), "", VLOOKUP(A80, Menu!$A$2:$D$18, 2, FALSE))</f>
        <v/>
      </c>
      <c r="C80" s="15" t="str">
        <f>IF(ISBLANK(A80), "", VLOOKUP(A80, Menu!$A$2:$D$18, 3, FALSE))</f>
        <v/>
      </c>
      <c r="D80" s="16" t="str">
        <f>IF(ISBLANK(A80), "", VLOOKUP(A80, Menu!$A$2:$D$18, 4, FALSE))</f>
        <v/>
      </c>
      <c r="E80" s="17"/>
      <c r="F80" s="16" t="str">
        <f t="shared" si="1"/>
        <v/>
      </c>
    </row>
    <row r="81" spans="1:6" x14ac:dyDescent="0.25">
      <c r="A81" s="17"/>
      <c r="B81" s="15" t="str">
        <f>IF(ISBLANK(A81), "", VLOOKUP(A81, Menu!$A$2:$D$18, 2, FALSE))</f>
        <v/>
      </c>
      <c r="C81" s="15" t="str">
        <f>IF(ISBLANK(A81), "", VLOOKUP(A81, Menu!$A$2:$D$18, 3, FALSE))</f>
        <v/>
      </c>
      <c r="D81" s="16" t="str">
        <f>IF(ISBLANK(A81), "", VLOOKUP(A81, Menu!$A$2:$D$18, 4, FALSE))</f>
        <v/>
      </c>
      <c r="E81" s="17"/>
      <c r="F81" s="16" t="str">
        <f t="shared" si="1"/>
        <v/>
      </c>
    </row>
    <row r="82" spans="1:6" x14ac:dyDescent="0.25">
      <c r="A82" s="17"/>
      <c r="B82" s="15" t="str">
        <f>IF(ISBLANK(A82), "", VLOOKUP(A82, Menu!$A$2:$D$18, 2, FALSE))</f>
        <v/>
      </c>
      <c r="C82" s="15" t="str">
        <f>IF(ISBLANK(A82), "", VLOOKUP(A82, Menu!$A$2:$D$18, 3, FALSE))</f>
        <v/>
      </c>
      <c r="D82" s="16" t="str">
        <f>IF(ISBLANK(A82), "", VLOOKUP(A82, Menu!$A$2:$D$18, 4, FALSE))</f>
        <v/>
      </c>
      <c r="E82" s="17"/>
      <c r="F82" s="16" t="str">
        <f t="shared" si="1"/>
        <v/>
      </c>
    </row>
    <row r="83" spans="1:6" x14ac:dyDescent="0.25">
      <c r="A83" s="17"/>
      <c r="B83" s="15" t="str">
        <f>IF(ISBLANK(A83), "", VLOOKUP(A83, Menu!$A$2:$D$18, 2, FALSE))</f>
        <v/>
      </c>
      <c r="C83" s="15" t="str">
        <f>IF(ISBLANK(A83), "", VLOOKUP(A83, Menu!$A$2:$D$18, 3, FALSE))</f>
        <v/>
      </c>
      <c r="D83" s="16" t="str">
        <f>IF(ISBLANK(A83), "", VLOOKUP(A83, Menu!$A$2:$D$18, 4, FALSE))</f>
        <v/>
      </c>
      <c r="E83" s="17"/>
      <c r="F83" s="16" t="str">
        <f t="shared" si="1"/>
        <v/>
      </c>
    </row>
    <row r="84" spans="1:6" x14ac:dyDescent="0.25">
      <c r="A84" s="17"/>
      <c r="B84" s="15" t="str">
        <f>IF(ISBLANK(A84), "", VLOOKUP(A84, Menu!$A$2:$D$18, 2, FALSE))</f>
        <v/>
      </c>
      <c r="C84" s="15" t="str">
        <f>IF(ISBLANK(A84), "", VLOOKUP(A84, Menu!$A$2:$D$18, 3, FALSE))</f>
        <v/>
      </c>
      <c r="D84" s="16" t="str">
        <f>IF(ISBLANK(A84), "", VLOOKUP(A84, Menu!$A$2:$D$18, 4, FALSE))</f>
        <v/>
      </c>
      <c r="E84" s="17"/>
      <c r="F84" s="16" t="str">
        <f t="shared" si="1"/>
        <v/>
      </c>
    </row>
    <row r="85" spans="1:6" x14ac:dyDescent="0.25">
      <c r="A85" s="17"/>
      <c r="B85" s="15" t="str">
        <f>IF(ISBLANK(A85), "", VLOOKUP(A85, Menu!$A$2:$D$18, 2, FALSE))</f>
        <v/>
      </c>
      <c r="C85" s="15" t="str">
        <f>IF(ISBLANK(A85), "", VLOOKUP(A85, Menu!$A$2:$D$18, 3, FALSE))</f>
        <v/>
      </c>
      <c r="D85" s="16" t="str">
        <f>IF(ISBLANK(A85), "", VLOOKUP(A85, Menu!$A$2:$D$18, 4, FALSE))</f>
        <v/>
      </c>
      <c r="E85" s="17"/>
      <c r="F85" s="16" t="str">
        <f t="shared" si="1"/>
        <v/>
      </c>
    </row>
    <row r="86" spans="1:6" x14ac:dyDescent="0.25">
      <c r="A86" s="17"/>
      <c r="B86" s="15" t="str">
        <f>IF(ISBLANK(A86), "", VLOOKUP(A86, Menu!$A$2:$D$18, 2, FALSE))</f>
        <v/>
      </c>
      <c r="C86" s="15" t="str">
        <f>IF(ISBLANK(A86), "", VLOOKUP(A86, Menu!$A$2:$D$18, 3, FALSE))</f>
        <v/>
      </c>
      <c r="D86" s="16" t="str">
        <f>IF(ISBLANK(A86), "", VLOOKUP(A86, Menu!$A$2:$D$18, 4, FALSE))</f>
        <v/>
      </c>
      <c r="E86" s="17"/>
      <c r="F86" s="16" t="str">
        <f t="shared" si="1"/>
        <v/>
      </c>
    </row>
    <row r="87" spans="1:6" x14ac:dyDescent="0.25">
      <c r="A87" s="17"/>
      <c r="B87" s="15" t="str">
        <f>IF(ISBLANK(A87), "", VLOOKUP(A87, Menu!$A$2:$D$18, 2, FALSE))</f>
        <v/>
      </c>
      <c r="C87" s="15" t="str">
        <f>IF(ISBLANK(A87), "", VLOOKUP(A87, Menu!$A$2:$D$18, 3, FALSE))</f>
        <v/>
      </c>
      <c r="D87" s="16" t="str">
        <f>IF(ISBLANK(A87), "", VLOOKUP(A87, Menu!$A$2:$D$18, 4, FALSE))</f>
        <v/>
      </c>
      <c r="E87" s="17"/>
      <c r="F87" s="16" t="str">
        <f t="shared" si="1"/>
        <v/>
      </c>
    </row>
    <row r="88" spans="1:6" x14ac:dyDescent="0.25">
      <c r="A88" s="17"/>
      <c r="B88" s="15" t="str">
        <f>IF(ISBLANK(A88), "", VLOOKUP(A88, Menu!$A$2:$D$18, 2, FALSE))</f>
        <v/>
      </c>
      <c r="C88" s="15" t="str">
        <f>IF(ISBLANK(A88), "", VLOOKUP(A88, Menu!$A$2:$D$18, 3, FALSE))</f>
        <v/>
      </c>
      <c r="D88" s="16" t="str">
        <f>IF(ISBLANK(A88), "", VLOOKUP(A88, Menu!$A$2:$D$18, 4, FALSE))</f>
        <v/>
      </c>
      <c r="E88" s="17"/>
      <c r="F88" s="16" t="str">
        <f t="shared" si="1"/>
        <v/>
      </c>
    </row>
    <row r="89" spans="1:6" x14ac:dyDescent="0.25">
      <c r="A89" s="17"/>
      <c r="B89" s="15" t="str">
        <f>IF(ISBLANK(A89), "", VLOOKUP(A89, Menu!$A$2:$D$18, 2, FALSE))</f>
        <v/>
      </c>
      <c r="C89" s="15" t="str">
        <f>IF(ISBLANK(A89), "", VLOOKUP(A89, Menu!$A$2:$D$18, 3, FALSE))</f>
        <v/>
      </c>
      <c r="D89" s="16" t="str">
        <f>IF(ISBLANK(A89), "", VLOOKUP(A89, Menu!$A$2:$D$18, 4, FALSE))</f>
        <v/>
      </c>
      <c r="E89" s="17"/>
      <c r="F89" s="16" t="str">
        <f t="shared" si="1"/>
        <v/>
      </c>
    </row>
    <row r="90" spans="1:6" x14ac:dyDescent="0.25">
      <c r="A90" s="17"/>
      <c r="B90" s="15" t="str">
        <f>IF(ISBLANK(A90), "", VLOOKUP(A90, Menu!$A$2:$D$18, 2, FALSE))</f>
        <v/>
      </c>
      <c r="C90" s="15" t="str">
        <f>IF(ISBLANK(A90), "", VLOOKUP(A90, Menu!$A$2:$D$18, 3, FALSE))</f>
        <v/>
      </c>
      <c r="D90" s="16" t="str">
        <f>IF(ISBLANK(A90), "", VLOOKUP(A90, Menu!$A$2:$D$18, 4, FALSE))</f>
        <v/>
      </c>
      <c r="E90" s="17"/>
      <c r="F90" s="16" t="str">
        <f t="shared" si="1"/>
        <v/>
      </c>
    </row>
    <row r="91" spans="1:6" x14ac:dyDescent="0.25">
      <c r="A91" s="17"/>
      <c r="B91" s="15" t="str">
        <f>IF(ISBLANK(A91), "", VLOOKUP(A91, Menu!$A$2:$D$18, 2, FALSE))</f>
        <v/>
      </c>
      <c r="C91" s="15" t="str">
        <f>IF(ISBLANK(A91), "", VLOOKUP(A91, Menu!$A$2:$D$18, 3, FALSE))</f>
        <v/>
      </c>
      <c r="D91" s="16" t="str">
        <f>IF(ISBLANK(A91), "", VLOOKUP(A91, Menu!$A$2:$D$18, 4, FALSE))</f>
        <v/>
      </c>
      <c r="E91" s="17"/>
      <c r="F91" s="16" t="str">
        <f t="shared" si="1"/>
        <v/>
      </c>
    </row>
    <row r="92" spans="1:6" x14ac:dyDescent="0.25">
      <c r="A92" s="17"/>
      <c r="B92" s="15" t="str">
        <f>IF(ISBLANK(A92), "", VLOOKUP(A92, Menu!$A$2:$D$18, 2, FALSE))</f>
        <v/>
      </c>
      <c r="C92" s="15" t="str">
        <f>IF(ISBLANK(A92), "", VLOOKUP(A92, Menu!$A$2:$D$18, 3, FALSE))</f>
        <v/>
      </c>
      <c r="D92" s="16" t="str">
        <f>IF(ISBLANK(A92), "", VLOOKUP(A92, Menu!$A$2:$D$18, 4, FALSE))</f>
        <v/>
      </c>
      <c r="E92" s="17"/>
      <c r="F92" s="16" t="str">
        <f t="shared" si="1"/>
        <v/>
      </c>
    </row>
    <row r="93" spans="1:6" x14ac:dyDescent="0.25">
      <c r="A93" s="17"/>
      <c r="B93" s="15" t="str">
        <f>IF(ISBLANK(A93), "", VLOOKUP(A93, Menu!$A$2:$D$18, 2, FALSE))</f>
        <v/>
      </c>
      <c r="C93" s="15" t="str">
        <f>IF(ISBLANK(A93), "", VLOOKUP(A93, Menu!$A$2:$D$18, 3, FALSE))</f>
        <v/>
      </c>
      <c r="D93" s="16" t="str">
        <f>IF(ISBLANK(A93), "", VLOOKUP(A93, Menu!$A$2:$D$18, 4, FALSE))</f>
        <v/>
      </c>
      <c r="E93" s="17"/>
      <c r="F93" s="16" t="str">
        <f t="shared" si="1"/>
        <v/>
      </c>
    </row>
    <row r="94" spans="1:6" x14ac:dyDescent="0.25">
      <c r="A94" s="17"/>
      <c r="B94" s="15" t="str">
        <f>IF(ISBLANK(A94), "", VLOOKUP(A94, Menu!$A$2:$D$18, 2, FALSE))</f>
        <v/>
      </c>
      <c r="C94" s="15" t="str">
        <f>IF(ISBLANK(A94), "", VLOOKUP(A94, Menu!$A$2:$D$18, 3, FALSE))</f>
        <v/>
      </c>
      <c r="D94" s="16" t="str">
        <f>IF(ISBLANK(A94), "", VLOOKUP(A94, Menu!$A$2:$D$18, 4, FALSE))</f>
        <v/>
      </c>
      <c r="E94" s="17"/>
      <c r="F94" s="16" t="str">
        <f t="shared" si="1"/>
        <v/>
      </c>
    </row>
    <row r="95" spans="1:6" x14ac:dyDescent="0.25">
      <c r="A95" s="17"/>
      <c r="B95" s="15" t="str">
        <f>IF(ISBLANK(A95), "", VLOOKUP(A95, Menu!$A$2:$D$18, 2, FALSE))</f>
        <v/>
      </c>
      <c r="C95" s="15" t="str">
        <f>IF(ISBLANK(A95), "", VLOOKUP(A95, Menu!$A$2:$D$18, 3, FALSE))</f>
        <v/>
      </c>
      <c r="D95" s="16" t="str">
        <f>IF(ISBLANK(A95), "", VLOOKUP(A95, Menu!$A$2:$D$18, 4, FALSE))</f>
        <v/>
      </c>
      <c r="E95" s="17"/>
      <c r="F95" s="16" t="str">
        <f t="shared" si="1"/>
        <v/>
      </c>
    </row>
    <row r="96" spans="1:6" x14ac:dyDescent="0.25">
      <c r="A96" s="17"/>
      <c r="B96" s="15" t="str">
        <f>IF(ISBLANK(A96), "", VLOOKUP(A96, Menu!$A$2:$D$18, 2, FALSE))</f>
        <v/>
      </c>
      <c r="C96" s="15" t="str">
        <f>IF(ISBLANK(A96), "", VLOOKUP(A96, Menu!$A$2:$D$18, 3, FALSE))</f>
        <v/>
      </c>
      <c r="D96" s="16" t="str">
        <f>IF(ISBLANK(A96), "", VLOOKUP(A96, Menu!$A$2:$D$18, 4, FALSE))</f>
        <v/>
      </c>
      <c r="E96" s="17"/>
      <c r="F96" s="16" t="str">
        <f t="shared" si="1"/>
        <v/>
      </c>
    </row>
    <row r="97" spans="1:6" x14ac:dyDescent="0.25">
      <c r="A97" s="17"/>
      <c r="B97" s="15" t="str">
        <f>IF(ISBLANK(A97), "", VLOOKUP(A97, Menu!$A$2:$D$18, 2, FALSE))</f>
        <v/>
      </c>
      <c r="C97" s="15" t="str">
        <f>IF(ISBLANK(A97), "", VLOOKUP(A97, Menu!$A$2:$D$18, 3, FALSE))</f>
        <v/>
      </c>
      <c r="D97" s="16" t="str">
        <f>IF(ISBLANK(A97), "", VLOOKUP(A97, Menu!$A$2:$D$18, 4, FALSE))</f>
        <v/>
      </c>
      <c r="E97" s="17"/>
      <c r="F97" s="16" t="str">
        <f t="shared" si="1"/>
        <v/>
      </c>
    </row>
    <row r="98" spans="1:6" x14ac:dyDescent="0.25">
      <c r="A98" s="17"/>
      <c r="B98" s="15" t="str">
        <f>IF(ISBLANK(A98), "", VLOOKUP(A98, Menu!$A$2:$D$18, 2, FALSE))</f>
        <v/>
      </c>
      <c r="C98" s="15" t="str">
        <f>IF(ISBLANK(A98), "", VLOOKUP(A98, Menu!$A$2:$D$18, 3, FALSE))</f>
        <v/>
      </c>
      <c r="D98" s="16" t="str">
        <f>IF(ISBLANK(A98), "", VLOOKUP(A98, Menu!$A$2:$D$18, 4, FALSE))</f>
        <v/>
      </c>
      <c r="E98" s="17"/>
      <c r="F98" s="16" t="str">
        <f t="shared" si="1"/>
        <v/>
      </c>
    </row>
    <row r="99" spans="1:6" x14ac:dyDescent="0.25">
      <c r="A99" s="17"/>
      <c r="B99" s="15" t="str">
        <f>IF(ISBLANK(A99), "", VLOOKUP(A99, Menu!$A$2:$D$18, 2, FALSE))</f>
        <v/>
      </c>
      <c r="C99" s="15" t="str">
        <f>IF(ISBLANK(A99), "", VLOOKUP(A99, Menu!$A$2:$D$18, 3, FALSE))</f>
        <v/>
      </c>
      <c r="D99" s="16" t="str">
        <f>IF(ISBLANK(A99), "", VLOOKUP(A99, Menu!$A$2:$D$18, 4, FALSE))</f>
        <v/>
      </c>
      <c r="E99" s="17"/>
      <c r="F99" s="16" t="str">
        <f t="shared" si="1"/>
        <v/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1C00-2404-4BA4-892A-0E4876703322}">
  <sheetPr codeName="Sheet6"/>
  <dimension ref="A1:F99"/>
  <sheetViews>
    <sheetView workbookViewId="0">
      <selection activeCell="E5" sqref="E5"/>
    </sheetView>
  </sheetViews>
  <sheetFormatPr defaultRowHeight="15" x14ac:dyDescent="0.25"/>
  <cols>
    <col min="1" max="1" width="60.140625" style="13" bestFit="1" customWidth="1"/>
    <col min="2" max="2" width="46" style="13" bestFit="1" customWidth="1"/>
    <col min="3" max="3" width="39.140625" style="13" customWidth="1"/>
    <col min="4" max="4" width="11" style="13" bestFit="1" customWidth="1"/>
    <col min="5" max="5" width="19" style="13" customWidth="1"/>
    <col min="6" max="6" width="36" style="13" customWidth="1"/>
  </cols>
  <sheetData>
    <row r="1" spans="1:6" ht="20.25" x14ac:dyDescent="0.3">
      <c r="A1" s="1" t="s">
        <v>0</v>
      </c>
      <c r="B1" s="6" t="s">
        <v>14</v>
      </c>
      <c r="C1" s="7">
        <f>SUM(F8:F99)</f>
        <v>0</v>
      </c>
      <c r="F1"/>
    </row>
    <row r="2" spans="1:6" ht="15.75" thickBot="1" x14ac:dyDescent="0.3">
      <c r="A2" s="2" t="s">
        <v>20</v>
      </c>
      <c r="B2" s="6" t="s">
        <v>15</v>
      </c>
      <c r="C2" s="8">
        <v>0</v>
      </c>
      <c r="F2"/>
    </row>
    <row r="3" spans="1:6" ht="15.75" thickBot="1" x14ac:dyDescent="0.3">
      <c r="B3" s="6"/>
      <c r="C3" s="9">
        <f>C1+C2</f>
        <v>0</v>
      </c>
    </row>
    <row r="4" spans="1:6" x14ac:dyDescent="0.25">
      <c r="A4" s="3" t="s">
        <v>2</v>
      </c>
      <c r="B4" s="4" t="s">
        <v>21</v>
      </c>
      <c r="D4" s="3" t="s">
        <v>4</v>
      </c>
      <c r="E4" s="14">
        <f ca="1">TODAY()</f>
        <v>46316</v>
      </c>
    </row>
    <row r="5" spans="1:6" x14ac:dyDescent="0.25">
      <c r="A5" s="3" t="s">
        <v>5</v>
      </c>
      <c r="B5" s="18">
        <v>3</v>
      </c>
      <c r="D5" s="3" t="s">
        <v>6</v>
      </c>
      <c r="E5" s="4" t="s">
        <v>7</v>
      </c>
    </row>
    <row r="6" spans="1:6" ht="15.75" thickBot="1" x14ac:dyDescent="0.3"/>
    <row r="7" spans="1:6" ht="15.75" thickBot="1" x14ac:dyDescent="0.3">
      <c r="A7" s="5" t="s">
        <v>8</v>
      </c>
      <c r="B7" s="5" t="s">
        <v>9</v>
      </c>
      <c r="C7" s="5" t="s">
        <v>10</v>
      </c>
      <c r="D7" s="5" t="s">
        <v>11</v>
      </c>
      <c r="E7" s="5" t="s">
        <v>12</v>
      </c>
      <c r="F7" s="5" t="s">
        <v>13</v>
      </c>
    </row>
    <row r="8" spans="1:6" x14ac:dyDescent="0.25">
      <c r="A8" s="17"/>
      <c r="B8" s="15" t="str">
        <f>IF(ISBLANK(A8), "", VLOOKUP(A8, Menu!$A$2:$D$18, 2, FALSE))</f>
        <v/>
      </c>
      <c r="C8" s="15" t="str">
        <f>IF(ISBLANK(A8), "", VLOOKUP(A8, Menu!$A$2:$D$18, 3, FALSE))</f>
        <v/>
      </c>
      <c r="D8" s="16" t="str">
        <f>IF(ISBLANK(A8), "", VLOOKUP(A8, Menu!$A$2:$D$18, 4, FALSE))</f>
        <v/>
      </c>
      <c r="E8" s="17"/>
      <c r="F8" s="16" t="str">
        <f>IF(ISBLANK(A8), "", D8*E8)</f>
        <v/>
      </c>
    </row>
    <row r="9" spans="1:6" x14ac:dyDescent="0.25">
      <c r="A9" s="17"/>
      <c r="B9" s="15" t="str">
        <f>IF(ISBLANK(A9), "", VLOOKUP(A9, Menu!$A$2:$D$18, 2, FALSE))</f>
        <v/>
      </c>
      <c r="C9" s="15" t="str">
        <f>IF(ISBLANK(A9), "", VLOOKUP(A9, Menu!$A$2:$D$18, 3, FALSE))</f>
        <v/>
      </c>
      <c r="D9" s="16" t="str">
        <f>IF(ISBLANK(A9), "", VLOOKUP(A9, Menu!$A$2:$D$18, 4, FALSE))</f>
        <v/>
      </c>
      <c r="E9" s="17"/>
      <c r="F9" s="16" t="str">
        <f t="shared" ref="F9:F72" si="0">IF(ISBLANK(A9), "", D9*E9)</f>
        <v/>
      </c>
    </row>
    <row r="10" spans="1:6" x14ac:dyDescent="0.25">
      <c r="A10" s="17"/>
      <c r="B10" s="15" t="str">
        <f>IF(ISBLANK(A10), "", VLOOKUP(A10, Menu!$A$2:$D$18, 2, FALSE))</f>
        <v/>
      </c>
      <c r="C10" s="15" t="str">
        <f>IF(ISBLANK(A10), "", VLOOKUP(A10, Menu!$A$2:$D$18, 3, FALSE))</f>
        <v/>
      </c>
      <c r="D10" s="16" t="str">
        <f>IF(ISBLANK(A10), "", VLOOKUP(A10, Menu!$A$2:$D$18, 4, FALSE))</f>
        <v/>
      </c>
      <c r="E10" s="17"/>
      <c r="F10" s="16" t="str">
        <f t="shared" si="0"/>
        <v/>
      </c>
    </row>
    <row r="11" spans="1:6" x14ac:dyDescent="0.25">
      <c r="A11" s="17"/>
      <c r="B11" s="15" t="str">
        <f>IF(ISBLANK(A11), "", VLOOKUP(A11, Menu!$A$2:$D$18, 2, FALSE))</f>
        <v/>
      </c>
      <c r="C11" s="15" t="str">
        <f>IF(ISBLANK(A11), "", VLOOKUP(A11, Menu!$A$2:$D$18, 3, FALSE))</f>
        <v/>
      </c>
      <c r="D11" s="16" t="str">
        <f>IF(ISBLANK(A11), "", VLOOKUP(A11, Menu!$A$2:$D$18, 4, FALSE))</f>
        <v/>
      </c>
      <c r="E11" s="17"/>
      <c r="F11" s="16" t="str">
        <f t="shared" si="0"/>
        <v/>
      </c>
    </row>
    <row r="12" spans="1:6" x14ac:dyDescent="0.25">
      <c r="A12" s="17"/>
      <c r="B12" s="15" t="str">
        <f>IF(ISBLANK(A12), "", VLOOKUP(A12, Menu!$A$2:$D$18, 2, FALSE))</f>
        <v/>
      </c>
      <c r="C12" s="15" t="str">
        <f>IF(ISBLANK(A12), "", VLOOKUP(A12, Menu!$A$2:$D$18, 3, FALSE))</f>
        <v/>
      </c>
      <c r="D12" s="16" t="str">
        <f>IF(ISBLANK(A12), "", VLOOKUP(A12, Menu!$A$2:$D$18, 4, FALSE))</f>
        <v/>
      </c>
      <c r="E12" s="17"/>
      <c r="F12" s="16" t="str">
        <f t="shared" si="0"/>
        <v/>
      </c>
    </row>
    <row r="13" spans="1:6" x14ac:dyDescent="0.25">
      <c r="A13" s="17"/>
      <c r="B13" s="15" t="str">
        <f>IF(ISBLANK(A13), "", VLOOKUP(A13, Menu!$A$2:$D$18, 2, FALSE))</f>
        <v/>
      </c>
      <c r="C13" s="15" t="str">
        <f>IF(ISBLANK(A13), "", VLOOKUP(A13, Menu!$A$2:$D$18, 3, FALSE))</f>
        <v/>
      </c>
      <c r="D13" s="16" t="str">
        <f>IF(ISBLANK(A13), "", VLOOKUP(A13, Menu!$A$2:$D$18, 4, FALSE))</f>
        <v/>
      </c>
      <c r="E13" s="17"/>
      <c r="F13" s="16" t="str">
        <f t="shared" si="0"/>
        <v/>
      </c>
    </row>
    <row r="14" spans="1:6" x14ac:dyDescent="0.25">
      <c r="A14" s="17"/>
      <c r="B14" s="15" t="str">
        <f>IF(ISBLANK(A14), "", VLOOKUP(A14, Menu!$A$2:$D$18, 2, FALSE))</f>
        <v/>
      </c>
      <c r="C14" s="15" t="str">
        <f>IF(ISBLANK(A14), "", VLOOKUP(A14, Menu!$A$2:$D$18, 3, FALSE))</f>
        <v/>
      </c>
      <c r="D14" s="16" t="str">
        <f>IF(ISBLANK(A14), "", VLOOKUP(A14, Menu!$A$2:$D$18, 4, FALSE))</f>
        <v/>
      </c>
      <c r="E14" s="17"/>
      <c r="F14" s="16" t="str">
        <f t="shared" si="0"/>
        <v/>
      </c>
    </row>
    <row r="15" spans="1:6" x14ac:dyDescent="0.25">
      <c r="A15" s="17"/>
      <c r="B15" s="15" t="str">
        <f>IF(ISBLANK(A15), "", VLOOKUP(A15, Menu!$A$2:$D$18, 2, FALSE))</f>
        <v/>
      </c>
      <c r="C15" s="15" t="str">
        <f>IF(ISBLANK(A15), "", VLOOKUP(A15, Menu!$A$2:$D$18, 3, FALSE))</f>
        <v/>
      </c>
      <c r="D15" s="16" t="str">
        <f>IF(ISBLANK(A15), "", VLOOKUP(A15, Menu!$A$2:$D$18, 4, FALSE))</f>
        <v/>
      </c>
      <c r="E15" s="17"/>
      <c r="F15" s="16" t="str">
        <f t="shared" si="0"/>
        <v/>
      </c>
    </row>
    <row r="16" spans="1:6" x14ac:dyDescent="0.25">
      <c r="A16" s="17"/>
      <c r="B16" s="15" t="str">
        <f>IF(ISBLANK(A16), "", VLOOKUP(A16, Menu!$A$2:$D$18, 2, FALSE))</f>
        <v/>
      </c>
      <c r="C16" s="15" t="str">
        <f>IF(ISBLANK(A16), "", VLOOKUP(A16, Menu!$A$2:$D$18, 3, FALSE))</f>
        <v/>
      </c>
      <c r="D16" s="16" t="str">
        <f>IF(ISBLANK(A16), "", VLOOKUP(A16, Menu!$A$2:$D$18, 4, FALSE))</f>
        <v/>
      </c>
      <c r="E16" s="17"/>
      <c r="F16" s="16" t="str">
        <f t="shared" si="0"/>
        <v/>
      </c>
    </row>
    <row r="17" spans="1:6" x14ac:dyDescent="0.25">
      <c r="A17" s="17"/>
      <c r="B17" s="15" t="str">
        <f>IF(ISBLANK(A17), "", VLOOKUP(A17, Menu!$A$2:$D$18, 2, FALSE))</f>
        <v/>
      </c>
      <c r="C17" s="15" t="str">
        <f>IF(ISBLANK(A17), "", VLOOKUP(A17, Menu!$A$2:$D$18, 3, FALSE))</f>
        <v/>
      </c>
      <c r="D17" s="16" t="str">
        <f>IF(ISBLANK(A17), "", VLOOKUP(A17, Menu!$A$2:$D$18, 4, FALSE))</f>
        <v/>
      </c>
      <c r="E17" s="17"/>
      <c r="F17" s="16" t="str">
        <f t="shared" si="0"/>
        <v/>
      </c>
    </row>
    <row r="18" spans="1:6" x14ac:dyDescent="0.25">
      <c r="A18" s="17"/>
      <c r="B18" s="15" t="str">
        <f>IF(ISBLANK(A18), "", VLOOKUP(A18, Menu!$A$2:$D$18, 2, FALSE))</f>
        <v/>
      </c>
      <c r="C18" s="15" t="str">
        <f>IF(ISBLANK(A18), "", VLOOKUP(A18, Menu!$A$2:$D$18, 3, FALSE))</f>
        <v/>
      </c>
      <c r="D18" s="16" t="str">
        <f>IF(ISBLANK(A18), "", VLOOKUP(A18, Menu!$A$2:$D$18, 4, FALSE))</f>
        <v/>
      </c>
      <c r="E18" s="17"/>
      <c r="F18" s="16" t="str">
        <f t="shared" si="0"/>
        <v/>
      </c>
    </row>
    <row r="19" spans="1:6" x14ac:dyDescent="0.25">
      <c r="A19" s="17"/>
      <c r="B19" s="15" t="str">
        <f>IF(ISBLANK(A19), "", VLOOKUP(A19, Menu!$A$2:$D$18, 2, FALSE))</f>
        <v/>
      </c>
      <c r="C19" s="15" t="str">
        <f>IF(ISBLANK(A19), "", VLOOKUP(A19, Menu!$A$2:$D$18, 3, FALSE))</f>
        <v/>
      </c>
      <c r="D19" s="16" t="str">
        <f>IF(ISBLANK(A19), "", VLOOKUP(A19, Menu!$A$2:$D$18, 4, FALSE))</f>
        <v/>
      </c>
      <c r="E19" s="17"/>
      <c r="F19" s="16" t="str">
        <f t="shared" si="0"/>
        <v/>
      </c>
    </row>
    <row r="20" spans="1:6" x14ac:dyDescent="0.25">
      <c r="A20" s="17"/>
      <c r="B20" s="15" t="str">
        <f>IF(ISBLANK(A20), "", VLOOKUP(A20, Menu!$A$2:$D$18, 2, FALSE))</f>
        <v/>
      </c>
      <c r="C20" s="15" t="str">
        <f>IF(ISBLANK(A20), "", VLOOKUP(A20, Menu!$A$2:$D$18, 3, FALSE))</f>
        <v/>
      </c>
      <c r="D20" s="16" t="str">
        <f>IF(ISBLANK(A20), "", VLOOKUP(A20, Menu!$A$2:$D$18, 4, FALSE))</f>
        <v/>
      </c>
      <c r="E20" s="17"/>
      <c r="F20" s="16" t="str">
        <f t="shared" si="0"/>
        <v/>
      </c>
    </row>
    <row r="21" spans="1:6" x14ac:dyDescent="0.25">
      <c r="A21" s="17"/>
      <c r="B21" s="15" t="str">
        <f>IF(ISBLANK(A21), "", VLOOKUP(A21, Menu!$A$2:$D$18, 2, FALSE))</f>
        <v/>
      </c>
      <c r="C21" s="15" t="str">
        <f>IF(ISBLANK(A21), "", VLOOKUP(A21, Menu!$A$2:$D$18, 3, FALSE))</f>
        <v/>
      </c>
      <c r="D21" s="16" t="str">
        <f>IF(ISBLANK(A21), "", VLOOKUP(A21, Menu!$A$2:$D$18, 4, FALSE))</f>
        <v/>
      </c>
      <c r="E21" s="17"/>
      <c r="F21" s="16" t="str">
        <f t="shared" si="0"/>
        <v/>
      </c>
    </row>
    <row r="22" spans="1:6" x14ac:dyDescent="0.25">
      <c r="A22" s="17"/>
      <c r="B22" s="15" t="str">
        <f>IF(ISBLANK(A22), "", VLOOKUP(A22, Menu!$A$2:$D$18, 2, FALSE))</f>
        <v/>
      </c>
      <c r="C22" s="15" t="str">
        <f>IF(ISBLANK(A22), "", VLOOKUP(A22, Menu!$A$2:$D$18, 3, FALSE))</f>
        <v/>
      </c>
      <c r="D22" s="16" t="str">
        <f>IF(ISBLANK(A22), "", VLOOKUP(A22, Menu!$A$2:$D$18, 4, FALSE))</f>
        <v/>
      </c>
      <c r="E22" s="17"/>
      <c r="F22" s="16" t="str">
        <f t="shared" si="0"/>
        <v/>
      </c>
    </row>
    <row r="23" spans="1:6" x14ac:dyDescent="0.25">
      <c r="A23" s="17"/>
      <c r="B23" s="15" t="str">
        <f>IF(ISBLANK(A23), "", VLOOKUP(A23, Menu!$A$2:$D$18, 2, FALSE))</f>
        <v/>
      </c>
      <c r="C23" s="15" t="str">
        <f>IF(ISBLANK(A23), "", VLOOKUP(A23, Menu!$A$2:$D$18, 3, FALSE))</f>
        <v/>
      </c>
      <c r="D23" s="16" t="str">
        <f>IF(ISBLANK(A23), "", VLOOKUP(A23, Menu!$A$2:$D$18, 4, FALSE))</f>
        <v/>
      </c>
      <c r="E23" s="17"/>
      <c r="F23" s="16" t="str">
        <f t="shared" si="0"/>
        <v/>
      </c>
    </row>
    <row r="24" spans="1:6" x14ac:dyDescent="0.25">
      <c r="A24" s="17"/>
      <c r="B24" s="15" t="str">
        <f>IF(ISBLANK(A24), "", VLOOKUP(A24, Menu!$A$2:$D$18, 2, FALSE))</f>
        <v/>
      </c>
      <c r="C24" s="15" t="str">
        <f>IF(ISBLANK(A24), "", VLOOKUP(A24, Menu!$A$2:$D$18, 3, FALSE))</f>
        <v/>
      </c>
      <c r="D24" s="16" t="str">
        <f>IF(ISBLANK(A24), "", VLOOKUP(A24, Menu!$A$2:$D$18, 4, FALSE))</f>
        <v/>
      </c>
      <c r="E24" s="17"/>
      <c r="F24" s="16" t="str">
        <f t="shared" si="0"/>
        <v/>
      </c>
    </row>
    <row r="25" spans="1:6" x14ac:dyDescent="0.25">
      <c r="A25" s="17"/>
      <c r="B25" s="15" t="str">
        <f>IF(ISBLANK(A25), "", VLOOKUP(A25, Menu!$A$2:$D$18, 2, FALSE))</f>
        <v/>
      </c>
      <c r="C25" s="15" t="str">
        <f>IF(ISBLANK(A25), "", VLOOKUP(A25, Menu!$A$2:$D$18, 3, FALSE))</f>
        <v/>
      </c>
      <c r="D25" s="16" t="str">
        <f>IF(ISBLANK(A25), "", VLOOKUP(A25, Menu!$A$2:$D$18, 4, FALSE))</f>
        <v/>
      </c>
      <c r="E25" s="17"/>
      <c r="F25" s="16" t="str">
        <f t="shared" si="0"/>
        <v/>
      </c>
    </row>
    <row r="26" spans="1:6" x14ac:dyDescent="0.25">
      <c r="A26" s="17"/>
      <c r="B26" s="15" t="str">
        <f>IF(ISBLANK(A26), "", VLOOKUP(A26, Menu!$A$2:$D$18, 2, FALSE))</f>
        <v/>
      </c>
      <c r="C26" s="15" t="str">
        <f>IF(ISBLANK(A26), "", VLOOKUP(A26, Menu!$A$2:$D$18, 3, FALSE))</f>
        <v/>
      </c>
      <c r="D26" s="16" t="str">
        <f>IF(ISBLANK(A26), "", VLOOKUP(A26, Menu!$A$2:$D$18, 4, FALSE))</f>
        <v/>
      </c>
      <c r="E26" s="17"/>
      <c r="F26" s="16" t="str">
        <f t="shared" si="0"/>
        <v/>
      </c>
    </row>
    <row r="27" spans="1:6" x14ac:dyDescent="0.25">
      <c r="A27" s="17"/>
      <c r="B27" s="15" t="str">
        <f>IF(ISBLANK(A27), "", VLOOKUP(A27, Menu!$A$2:$D$18, 2, FALSE))</f>
        <v/>
      </c>
      <c r="C27" s="15" t="str">
        <f>IF(ISBLANK(A27), "", VLOOKUP(A27, Menu!$A$2:$D$18, 3, FALSE))</f>
        <v/>
      </c>
      <c r="D27" s="16" t="str">
        <f>IF(ISBLANK(A27), "", VLOOKUP(A27, Menu!$A$2:$D$18, 4, FALSE))</f>
        <v/>
      </c>
      <c r="E27" s="17"/>
      <c r="F27" s="16" t="str">
        <f t="shared" si="0"/>
        <v/>
      </c>
    </row>
    <row r="28" spans="1:6" x14ac:dyDescent="0.25">
      <c r="A28" s="17"/>
      <c r="B28" s="15" t="str">
        <f>IF(ISBLANK(A28), "", VLOOKUP(A28, Menu!$A$2:$D$18, 2, FALSE))</f>
        <v/>
      </c>
      <c r="C28" s="15" t="str">
        <f>IF(ISBLANK(A28), "", VLOOKUP(A28, Menu!$A$2:$D$18, 3, FALSE))</f>
        <v/>
      </c>
      <c r="D28" s="16" t="str">
        <f>IF(ISBLANK(A28), "", VLOOKUP(A28, Menu!$A$2:$D$18, 4, FALSE))</f>
        <v/>
      </c>
      <c r="E28" s="17"/>
      <c r="F28" s="16" t="str">
        <f t="shared" si="0"/>
        <v/>
      </c>
    </row>
    <row r="29" spans="1:6" x14ac:dyDescent="0.25">
      <c r="A29" s="17"/>
      <c r="B29" s="15" t="str">
        <f>IF(ISBLANK(A29), "", VLOOKUP(A29, Menu!$A$2:$D$18, 2, FALSE))</f>
        <v/>
      </c>
      <c r="C29" s="15" t="str">
        <f>IF(ISBLANK(A29), "", VLOOKUP(A29, Menu!$A$2:$D$18, 3, FALSE))</f>
        <v/>
      </c>
      <c r="D29" s="16" t="str">
        <f>IF(ISBLANK(A29), "", VLOOKUP(A29, Menu!$A$2:$D$18, 4, FALSE))</f>
        <v/>
      </c>
      <c r="E29" s="17"/>
      <c r="F29" s="16" t="str">
        <f t="shared" si="0"/>
        <v/>
      </c>
    </row>
    <row r="30" spans="1:6" x14ac:dyDescent="0.25">
      <c r="A30" s="17"/>
      <c r="B30" s="15" t="str">
        <f>IF(ISBLANK(A30), "", VLOOKUP(A30, Menu!$A$2:$D$18, 2, FALSE))</f>
        <v/>
      </c>
      <c r="C30" s="15" t="str">
        <f>IF(ISBLANK(A30), "", VLOOKUP(A30, Menu!$A$2:$D$18, 3, FALSE))</f>
        <v/>
      </c>
      <c r="D30" s="16" t="str">
        <f>IF(ISBLANK(A30), "", VLOOKUP(A30, Menu!$A$2:$D$18, 4, FALSE))</f>
        <v/>
      </c>
      <c r="E30" s="17"/>
      <c r="F30" s="16" t="str">
        <f t="shared" si="0"/>
        <v/>
      </c>
    </row>
    <row r="31" spans="1:6" x14ac:dyDescent="0.25">
      <c r="A31" s="17"/>
      <c r="B31" s="15" t="str">
        <f>IF(ISBLANK(A31), "", VLOOKUP(A31, Menu!$A$2:$D$18, 2, FALSE))</f>
        <v/>
      </c>
      <c r="C31" s="15" t="str">
        <f>IF(ISBLANK(A31), "", VLOOKUP(A31, Menu!$A$2:$D$18, 3, FALSE))</f>
        <v/>
      </c>
      <c r="D31" s="16" t="str">
        <f>IF(ISBLANK(A31), "", VLOOKUP(A31, Menu!$A$2:$D$18, 4, FALSE))</f>
        <v/>
      </c>
      <c r="E31" s="17"/>
      <c r="F31" s="16" t="str">
        <f t="shared" si="0"/>
        <v/>
      </c>
    </row>
    <row r="32" spans="1:6" x14ac:dyDescent="0.25">
      <c r="A32" s="17"/>
      <c r="B32" s="15" t="str">
        <f>IF(ISBLANK(A32), "", VLOOKUP(A32, Menu!$A$2:$D$18, 2, FALSE))</f>
        <v/>
      </c>
      <c r="C32" s="15" t="str">
        <f>IF(ISBLANK(A32), "", VLOOKUP(A32, Menu!$A$2:$D$18, 3, FALSE))</f>
        <v/>
      </c>
      <c r="D32" s="16" t="str">
        <f>IF(ISBLANK(A32), "", VLOOKUP(A32, Menu!$A$2:$D$18, 4, FALSE))</f>
        <v/>
      </c>
      <c r="E32" s="17"/>
      <c r="F32" s="16" t="str">
        <f t="shared" si="0"/>
        <v/>
      </c>
    </row>
    <row r="33" spans="1:6" x14ac:dyDescent="0.25">
      <c r="A33" s="17"/>
      <c r="B33" s="15" t="str">
        <f>IF(ISBLANK(A33), "", VLOOKUP(A33, Menu!$A$2:$D$18, 2, FALSE))</f>
        <v/>
      </c>
      <c r="C33" s="15" t="str">
        <f>IF(ISBLANK(A33), "", VLOOKUP(A33, Menu!$A$2:$D$18, 3, FALSE))</f>
        <v/>
      </c>
      <c r="D33" s="16" t="str">
        <f>IF(ISBLANK(A33), "", VLOOKUP(A33, Menu!$A$2:$D$18, 4, FALSE))</f>
        <v/>
      </c>
      <c r="E33" s="17"/>
      <c r="F33" s="16" t="str">
        <f t="shared" si="0"/>
        <v/>
      </c>
    </row>
    <row r="34" spans="1:6" x14ac:dyDescent="0.25">
      <c r="A34" s="17"/>
      <c r="B34" s="15" t="str">
        <f>IF(ISBLANK(A34), "", VLOOKUP(A34, Menu!$A$2:$D$18, 2, FALSE))</f>
        <v/>
      </c>
      <c r="C34" s="15" t="str">
        <f>IF(ISBLANK(A34), "", VLOOKUP(A34, Menu!$A$2:$D$18, 3, FALSE))</f>
        <v/>
      </c>
      <c r="D34" s="16" t="str">
        <f>IF(ISBLANK(A34), "", VLOOKUP(A34, Menu!$A$2:$D$18, 4, FALSE))</f>
        <v/>
      </c>
      <c r="E34" s="17"/>
      <c r="F34" s="16" t="str">
        <f t="shared" si="0"/>
        <v/>
      </c>
    </row>
    <row r="35" spans="1:6" x14ac:dyDescent="0.25">
      <c r="A35" s="17"/>
      <c r="B35" s="15" t="str">
        <f>IF(ISBLANK(A35), "", VLOOKUP(A35, Menu!$A$2:$D$18, 2, FALSE))</f>
        <v/>
      </c>
      <c r="C35" s="15" t="str">
        <f>IF(ISBLANK(A35), "", VLOOKUP(A35, Menu!$A$2:$D$18, 3, FALSE))</f>
        <v/>
      </c>
      <c r="D35" s="16" t="str">
        <f>IF(ISBLANK(A35), "", VLOOKUP(A35, Menu!$A$2:$D$18, 4, FALSE))</f>
        <v/>
      </c>
      <c r="E35" s="17"/>
      <c r="F35" s="16" t="str">
        <f t="shared" si="0"/>
        <v/>
      </c>
    </row>
    <row r="36" spans="1:6" x14ac:dyDescent="0.25">
      <c r="A36" s="17"/>
      <c r="B36" s="15" t="str">
        <f>IF(ISBLANK(A36), "", VLOOKUP(A36, Menu!$A$2:$D$18, 2, FALSE))</f>
        <v/>
      </c>
      <c r="C36" s="15" t="str">
        <f>IF(ISBLANK(A36), "", VLOOKUP(A36, Menu!$A$2:$D$18, 3, FALSE))</f>
        <v/>
      </c>
      <c r="D36" s="16" t="str">
        <f>IF(ISBLANK(A36), "", VLOOKUP(A36, Menu!$A$2:$D$18, 4, FALSE))</f>
        <v/>
      </c>
      <c r="E36" s="17"/>
      <c r="F36" s="16" t="str">
        <f t="shared" si="0"/>
        <v/>
      </c>
    </row>
    <row r="37" spans="1:6" x14ac:dyDescent="0.25">
      <c r="A37" s="17"/>
      <c r="B37" s="15" t="str">
        <f>IF(ISBLANK(A37), "", VLOOKUP(A37, Menu!$A$2:$D$18, 2, FALSE))</f>
        <v/>
      </c>
      <c r="C37" s="15" t="str">
        <f>IF(ISBLANK(A37), "", VLOOKUP(A37, Menu!$A$2:$D$18, 3, FALSE))</f>
        <v/>
      </c>
      <c r="D37" s="16" t="str">
        <f>IF(ISBLANK(A37), "", VLOOKUP(A37, Menu!$A$2:$D$18, 4, FALSE))</f>
        <v/>
      </c>
      <c r="E37" s="17"/>
      <c r="F37" s="16" t="str">
        <f t="shared" si="0"/>
        <v/>
      </c>
    </row>
    <row r="38" spans="1:6" x14ac:dyDescent="0.25">
      <c r="A38" s="17"/>
      <c r="B38" s="15" t="str">
        <f>IF(ISBLANK(A38), "", VLOOKUP(A38, Menu!$A$2:$D$18, 2, FALSE))</f>
        <v/>
      </c>
      <c r="C38" s="15" t="str">
        <f>IF(ISBLANK(A38), "", VLOOKUP(A38, Menu!$A$2:$D$18, 3, FALSE))</f>
        <v/>
      </c>
      <c r="D38" s="16" t="str">
        <f>IF(ISBLANK(A38), "", VLOOKUP(A38, Menu!$A$2:$D$18, 4, FALSE))</f>
        <v/>
      </c>
      <c r="E38" s="17"/>
      <c r="F38" s="16" t="str">
        <f t="shared" si="0"/>
        <v/>
      </c>
    </row>
    <row r="39" spans="1:6" x14ac:dyDescent="0.25">
      <c r="A39" s="17"/>
      <c r="B39" s="15" t="str">
        <f>IF(ISBLANK(A39), "", VLOOKUP(A39, Menu!$A$2:$D$18, 2, FALSE))</f>
        <v/>
      </c>
      <c r="C39" s="15" t="str">
        <f>IF(ISBLANK(A39), "", VLOOKUP(A39, Menu!$A$2:$D$18, 3, FALSE))</f>
        <v/>
      </c>
      <c r="D39" s="16" t="str">
        <f>IF(ISBLANK(A39), "", VLOOKUP(A39, Menu!$A$2:$D$18, 4, FALSE))</f>
        <v/>
      </c>
      <c r="E39" s="17"/>
      <c r="F39" s="16" t="str">
        <f t="shared" si="0"/>
        <v/>
      </c>
    </row>
    <row r="40" spans="1:6" x14ac:dyDescent="0.25">
      <c r="A40" s="17"/>
      <c r="B40" s="15" t="str">
        <f>IF(ISBLANK(A40), "", VLOOKUP(A40, Menu!$A$2:$D$18, 2, FALSE))</f>
        <v/>
      </c>
      <c r="C40" s="15" t="str">
        <f>IF(ISBLANK(A40), "", VLOOKUP(A40, Menu!$A$2:$D$18, 3, FALSE))</f>
        <v/>
      </c>
      <c r="D40" s="16" t="str">
        <f>IF(ISBLANK(A40), "", VLOOKUP(A40, Menu!$A$2:$D$18, 4, FALSE))</f>
        <v/>
      </c>
      <c r="E40" s="17"/>
      <c r="F40" s="16" t="str">
        <f t="shared" si="0"/>
        <v/>
      </c>
    </row>
    <row r="41" spans="1:6" x14ac:dyDescent="0.25">
      <c r="A41" s="17"/>
      <c r="B41" s="15" t="str">
        <f>IF(ISBLANK(A41), "", VLOOKUP(A41, Menu!$A$2:$D$18, 2, FALSE))</f>
        <v/>
      </c>
      <c r="C41" s="15" t="str">
        <f>IF(ISBLANK(A41), "", VLOOKUP(A41, Menu!$A$2:$D$18, 3, FALSE))</f>
        <v/>
      </c>
      <c r="D41" s="16" t="str">
        <f>IF(ISBLANK(A41), "", VLOOKUP(A41, Menu!$A$2:$D$18, 4, FALSE))</f>
        <v/>
      </c>
      <c r="E41" s="17"/>
      <c r="F41" s="16" t="str">
        <f t="shared" si="0"/>
        <v/>
      </c>
    </row>
    <row r="42" spans="1:6" x14ac:dyDescent="0.25">
      <c r="A42" s="17"/>
      <c r="B42" s="15" t="str">
        <f>IF(ISBLANK(A42), "", VLOOKUP(A42, Menu!$A$2:$D$18, 2, FALSE))</f>
        <v/>
      </c>
      <c r="C42" s="15" t="str">
        <f>IF(ISBLANK(A42), "", VLOOKUP(A42, Menu!$A$2:$D$18, 3, FALSE))</f>
        <v/>
      </c>
      <c r="D42" s="16" t="str">
        <f>IF(ISBLANK(A42), "", VLOOKUP(A42, Menu!$A$2:$D$18, 4, FALSE))</f>
        <v/>
      </c>
      <c r="E42" s="17"/>
      <c r="F42" s="16" t="str">
        <f t="shared" si="0"/>
        <v/>
      </c>
    </row>
    <row r="43" spans="1:6" x14ac:dyDescent="0.25">
      <c r="A43" s="17"/>
      <c r="B43" s="15" t="str">
        <f>IF(ISBLANK(A43), "", VLOOKUP(A43, Menu!$A$2:$D$18, 2, FALSE))</f>
        <v/>
      </c>
      <c r="C43" s="15" t="str">
        <f>IF(ISBLANK(A43), "", VLOOKUP(A43, Menu!$A$2:$D$18, 3, FALSE))</f>
        <v/>
      </c>
      <c r="D43" s="16" t="str">
        <f>IF(ISBLANK(A43), "", VLOOKUP(A43, Menu!$A$2:$D$18, 4, FALSE))</f>
        <v/>
      </c>
      <c r="E43" s="17"/>
      <c r="F43" s="16" t="str">
        <f t="shared" si="0"/>
        <v/>
      </c>
    </row>
    <row r="44" spans="1:6" x14ac:dyDescent="0.25">
      <c r="A44" s="17"/>
      <c r="B44" s="15" t="str">
        <f>IF(ISBLANK(A44), "", VLOOKUP(A44, Menu!$A$2:$D$18, 2, FALSE))</f>
        <v/>
      </c>
      <c r="C44" s="15" t="str">
        <f>IF(ISBLANK(A44), "", VLOOKUP(A44, Menu!$A$2:$D$18, 3, FALSE))</f>
        <v/>
      </c>
      <c r="D44" s="16" t="str">
        <f>IF(ISBLANK(A44), "", VLOOKUP(A44, Menu!$A$2:$D$18, 4, FALSE))</f>
        <v/>
      </c>
      <c r="E44" s="17"/>
      <c r="F44" s="16" t="str">
        <f t="shared" si="0"/>
        <v/>
      </c>
    </row>
    <row r="45" spans="1:6" x14ac:dyDescent="0.25">
      <c r="A45" s="17"/>
      <c r="B45" s="15" t="str">
        <f>IF(ISBLANK(A45), "", VLOOKUP(A45, Menu!$A$2:$D$18, 2, FALSE))</f>
        <v/>
      </c>
      <c r="C45" s="15" t="str">
        <f>IF(ISBLANK(A45), "", VLOOKUP(A45, Menu!$A$2:$D$18, 3, FALSE))</f>
        <v/>
      </c>
      <c r="D45" s="16" t="str">
        <f>IF(ISBLANK(A45), "", VLOOKUP(A45, Menu!$A$2:$D$18, 4, FALSE))</f>
        <v/>
      </c>
      <c r="E45" s="17"/>
      <c r="F45" s="16" t="str">
        <f t="shared" si="0"/>
        <v/>
      </c>
    </row>
    <row r="46" spans="1:6" x14ac:dyDescent="0.25">
      <c r="A46" s="17"/>
      <c r="B46" s="15" t="str">
        <f>IF(ISBLANK(A46), "", VLOOKUP(A46, Menu!$A$2:$D$18, 2, FALSE))</f>
        <v/>
      </c>
      <c r="C46" s="15" t="str">
        <f>IF(ISBLANK(A46), "", VLOOKUP(A46, Menu!$A$2:$D$18, 3, FALSE))</f>
        <v/>
      </c>
      <c r="D46" s="16" t="str">
        <f>IF(ISBLANK(A46), "", VLOOKUP(A46, Menu!$A$2:$D$18, 4, FALSE))</f>
        <v/>
      </c>
      <c r="E46" s="17"/>
      <c r="F46" s="16" t="str">
        <f t="shared" si="0"/>
        <v/>
      </c>
    </row>
    <row r="47" spans="1:6" x14ac:dyDescent="0.25">
      <c r="A47" s="17"/>
      <c r="B47" s="15" t="str">
        <f>IF(ISBLANK(A47), "", VLOOKUP(A47, Menu!$A$2:$D$18, 2, FALSE))</f>
        <v/>
      </c>
      <c r="C47" s="15" t="str">
        <f>IF(ISBLANK(A47), "", VLOOKUP(A47, Menu!$A$2:$D$18, 3, FALSE))</f>
        <v/>
      </c>
      <c r="D47" s="16" t="str">
        <f>IF(ISBLANK(A47), "", VLOOKUP(A47, Menu!$A$2:$D$18, 4, FALSE))</f>
        <v/>
      </c>
      <c r="E47" s="17"/>
      <c r="F47" s="16" t="str">
        <f t="shared" si="0"/>
        <v/>
      </c>
    </row>
    <row r="48" spans="1:6" x14ac:dyDescent="0.25">
      <c r="A48" s="17"/>
      <c r="B48" s="15" t="str">
        <f>IF(ISBLANK(A48), "", VLOOKUP(A48, Menu!$A$2:$D$18, 2, FALSE))</f>
        <v/>
      </c>
      <c r="C48" s="15" t="str">
        <f>IF(ISBLANK(A48), "", VLOOKUP(A48, Menu!$A$2:$D$18, 3, FALSE))</f>
        <v/>
      </c>
      <c r="D48" s="16" t="str">
        <f>IF(ISBLANK(A48), "", VLOOKUP(A48, Menu!$A$2:$D$18, 4, FALSE))</f>
        <v/>
      </c>
      <c r="E48" s="17"/>
      <c r="F48" s="16" t="str">
        <f t="shared" si="0"/>
        <v/>
      </c>
    </row>
    <row r="49" spans="1:6" x14ac:dyDescent="0.25">
      <c r="A49" s="17"/>
      <c r="B49" s="15" t="str">
        <f>IF(ISBLANK(A49), "", VLOOKUP(A49, Menu!$A$2:$D$18, 2, FALSE))</f>
        <v/>
      </c>
      <c r="C49" s="15" t="str">
        <f>IF(ISBLANK(A49), "", VLOOKUP(A49, Menu!$A$2:$D$18, 3, FALSE))</f>
        <v/>
      </c>
      <c r="D49" s="16" t="str">
        <f>IF(ISBLANK(A49), "", VLOOKUP(A49, Menu!$A$2:$D$18, 4, FALSE))</f>
        <v/>
      </c>
      <c r="E49" s="17"/>
      <c r="F49" s="16" t="str">
        <f t="shared" si="0"/>
        <v/>
      </c>
    </row>
    <row r="50" spans="1:6" x14ac:dyDescent="0.25">
      <c r="A50" s="17"/>
      <c r="B50" s="15" t="str">
        <f>IF(ISBLANK(A50), "", VLOOKUP(A50, Menu!$A$2:$D$18, 2, FALSE))</f>
        <v/>
      </c>
      <c r="C50" s="15" t="str">
        <f>IF(ISBLANK(A50), "", VLOOKUP(A50, Menu!$A$2:$D$18, 3, FALSE))</f>
        <v/>
      </c>
      <c r="D50" s="16" t="str">
        <f>IF(ISBLANK(A50), "", VLOOKUP(A50, Menu!$A$2:$D$18, 4, FALSE))</f>
        <v/>
      </c>
      <c r="E50" s="17"/>
      <c r="F50" s="16" t="str">
        <f t="shared" si="0"/>
        <v/>
      </c>
    </row>
    <row r="51" spans="1:6" x14ac:dyDescent="0.25">
      <c r="A51" s="17"/>
      <c r="B51" s="15" t="str">
        <f>IF(ISBLANK(A51), "", VLOOKUP(A51, Menu!$A$2:$D$18, 2, FALSE))</f>
        <v/>
      </c>
      <c r="C51" s="15" t="str">
        <f>IF(ISBLANK(A51), "", VLOOKUP(A51, Menu!$A$2:$D$18, 3, FALSE))</f>
        <v/>
      </c>
      <c r="D51" s="16" t="str">
        <f>IF(ISBLANK(A51), "", VLOOKUP(A51, Menu!$A$2:$D$18, 4, FALSE))</f>
        <v/>
      </c>
      <c r="E51" s="17"/>
      <c r="F51" s="16" t="str">
        <f t="shared" si="0"/>
        <v/>
      </c>
    </row>
    <row r="52" spans="1:6" x14ac:dyDescent="0.25">
      <c r="A52" s="17"/>
      <c r="B52" s="15" t="str">
        <f>IF(ISBLANK(A52), "", VLOOKUP(A52, Menu!$A$2:$D$18, 2, FALSE))</f>
        <v/>
      </c>
      <c r="C52" s="15" t="str">
        <f>IF(ISBLANK(A52), "", VLOOKUP(A52, Menu!$A$2:$D$18, 3, FALSE))</f>
        <v/>
      </c>
      <c r="D52" s="16" t="str">
        <f>IF(ISBLANK(A52), "", VLOOKUP(A52, Menu!$A$2:$D$18, 4, FALSE))</f>
        <v/>
      </c>
      <c r="E52" s="17"/>
      <c r="F52" s="16" t="str">
        <f t="shared" si="0"/>
        <v/>
      </c>
    </row>
    <row r="53" spans="1:6" x14ac:dyDescent="0.25">
      <c r="A53" s="17"/>
      <c r="B53" s="15" t="str">
        <f>IF(ISBLANK(A53), "", VLOOKUP(A53, Menu!$A$2:$D$18, 2, FALSE))</f>
        <v/>
      </c>
      <c r="C53" s="15" t="str">
        <f>IF(ISBLANK(A53), "", VLOOKUP(A53, Menu!$A$2:$D$18, 3, FALSE))</f>
        <v/>
      </c>
      <c r="D53" s="16" t="str">
        <f>IF(ISBLANK(A53), "", VLOOKUP(A53, Menu!$A$2:$D$18, 4, FALSE))</f>
        <v/>
      </c>
      <c r="E53" s="17"/>
      <c r="F53" s="16" t="str">
        <f t="shared" si="0"/>
        <v/>
      </c>
    </row>
    <row r="54" spans="1:6" x14ac:dyDescent="0.25">
      <c r="A54" s="17"/>
      <c r="B54" s="15" t="str">
        <f>IF(ISBLANK(A54), "", VLOOKUP(A54, Menu!$A$2:$D$18, 2, FALSE))</f>
        <v/>
      </c>
      <c r="C54" s="15" t="str">
        <f>IF(ISBLANK(A54), "", VLOOKUP(A54, Menu!$A$2:$D$18, 3, FALSE))</f>
        <v/>
      </c>
      <c r="D54" s="16" t="str">
        <f>IF(ISBLANK(A54), "", VLOOKUP(A54, Menu!$A$2:$D$18, 4, FALSE))</f>
        <v/>
      </c>
      <c r="E54" s="17"/>
      <c r="F54" s="16" t="str">
        <f t="shared" si="0"/>
        <v/>
      </c>
    </row>
    <row r="55" spans="1:6" x14ac:dyDescent="0.25">
      <c r="A55" s="17"/>
      <c r="B55" s="15" t="str">
        <f>IF(ISBLANK(A55), "", VLOOKUP(A55, Menu!$A$2:$D$18, 2, FALSE))</f>
        <v/>
      </c>
      <c r="C55" s="15" t="str">
        <f>IF(ISBLANK(A55), "", VLOOKUP(A55, Menu!$A$2:$D$18, 3, FALSE))</f>
        <v/>
      </c>
      <c r="D55" s="16" t="str">
        <f>IF(ISBLANK(A55), "", VLOOKUP(A55, Menu!$A$2:$D$18, 4, FALSE))</f>
        <v/>
      </c>
      <c r="E55" s="17"/>
      <c r="F55" s="16" t="str">
        <f t="shared" si="0"/>
        <v/>
      </c>
    </row>
    <row r="56" spans="1:6" x14ac:dyDescent="0.25">
      <c r="A56" s="17"/>
      <c r="B56" s="15" t="str">
        <f>IF(ISBLANK(A56), "", VLOOKUP(A56, Menu!$A$2:$D$18, 2, FALSE))</f>
        <v/>
      </c>
      <c r="C56" s="15" t="str">
        <f>IF(ISBLANK(A56), "", VLOOKUP(A56, Menu!$A$2:$D$18, 3, FALSE))</f>
        <v/>
      </c>
      <c r="D56" s="16" t="str">
        <f>IF(ISBLANK(A56), "", VLOOKUP(A56, Menu!$A$2:$D$18, 4, FALSE))</f>
        <v/>
      </c>
      <c r="E56" s="17"/>
      <c r="F56" s="16" t="str">
        <f t="shared" si="0"/>
        <v/>
      </c>
    </row>
    <row r="57" spans="1:6" x14ac:dyDescent="0.25">
      <c r="A57" s="17"/>
      <c r="B57" s="15" t="str">
        <f>IF(ISBLANK(A57), "", VLOOKUP(A57, Menu!$A$2:$D$18, 2, FALSE))</f>
        <v/>
      </c>
      <c r="C57" s="15" t="str">
        <f>IF(ISBLANK(A57), "", VLOOKUP(A57, Menu!$A$2:$D$18, 3, FALSE))</f>
        <v/>
      </c>
      <c r="D57" s="16" t="str">
        <f>IF(ISBLANK(A57), "", VLOOKUP(A57, Menu!$A$2:$D$18, 4, FALSE))</f>
        <v/>
      </c>
      <c r="E57" s="17"/>
      <c r="F57" s="16" t="str">
        <f t="shared" si="0"/>
        <v/>
      </c>
    </row>
    <row r="58" spans="1:6" x14ac:dyDescent="0.25">
      <c r="A58" s="17"/>
      <c r="B58" s="15" t="str">
        <f>IF(ISBLANK(A58), "", VLOOKUP(A58, Menu!$A$2:$D$18, 2, FALSE))</f>
        <v/>
      </c>
      <c r="C58" s="15" t="str">
        <f>IF(ISBLANK(A58), "", VLOOKUP(A58, Menu!$A$2:$D$18, 3, FALSE))</f>
        <v/>
      </c>
      <c r="D58" s="16" t="str">
        <f>IF(ISBLANK(A58), "", VLOOKUP(A58, Menu!$A$2:$D$18, 4, FALSE))</f>
        <v/>
      </c>
      <c r="E58" s="17"/>
      <c r="F58" s="16" t="str">
        <f t="shared" si="0"/>
        <v/>
      </c>
    </row>
    <row r="59" spans="1:6" x14ac:dyDescent="0.25">
      <c r="A59" s="17"/>
      <c r="B59" s="15" t="str">
        <f>IF(ISBLANK(A59), "", VLOOKUP(A59, Menu!$A$2:$D$18, 2, FALSE))</f>
        <v/>
      </c>
      <c r="C59" s="15" t="str">
        <f>IF(ISBLANK(A59), "", VLOOKUP(A59, Menu!$A$2:$D$18, 3, FALSE))</f>
        <v/>
      </c>
      <c r="D59" s="16" t="str">
        <f>IF(ISBLANK(A59), "", VLOOKUP(A59, Menu!$A$2:$D$18, 4, FALSE))</f>
        <v/>
      </c>
      <c r="E59" s="17"/>
      <c r="F59" s="16" t="str">
        <f t="shared" si="0"/>
        <v/>
      </c>
    </row>
    <row r="60" spans="1:6" x14ac:dyDescent="0.25">
      <c r="A60" s="17"/>
      <c r="B60" s="15" t="str">
        <f>IF(ISBLANK(A60), "", VLOOKUP(A60, Menu!$A$2:$D$18, 2, FALSE))</f>
        <v/>
      </c>
      <c r="C60" s="15" t="str">
        <f>IF(ISBLANK(A60), "", VLOOKUP(A60, Menu!$A$2:$D$18, 3, FALSE))</f>
        <v/>
      </c>
      <c r="D60" s="16" t="str">
        <f>IF(ISBLANK(A60), "", VLOOKUP(A60, Menu!$A$2:$D$18, 4, FALSE))</f>
        <v/>
      </c>
      <c r="E60" s="17"/>
      <c r="F60" s="16" t="str">
        <f t="shared" si="0"/>
        <v/>
      </c>
    </row>
    <row r="61" spans="1:6" x14ac:dyDescent="0.25">
      <c r="A61" s="17"/>
      <c r="B61" s="15" t="str">
        <f>IF(ISBLANK(A61), "", VLOOKUP(A61, Menu!$A$2:$D$18, 2, FALSE))</f>
        <v/>
      </c>
      <c r="C61" s="15" t="str">
        <f>IF(ISBLANK(A61), "", VLOOKUP(A61, Menu!$A$2:$D$18, 3, FALSE))</f>
        <v/>
      </c>
      <c r="D61" s="16" t="str">
        <f>IF(ISBLANK(A61), "", VLOOKUP(A61, Menu!$A$2:$D$18, 4, FALSE))</f>
        <v/>
      </c>
      <c r="E61" s="17"/>
      <c r="F61" s="16" t="str">
        <f t="shared" si="0"/>
        <v/>
      </c>
    </row>
    <row r="62" spans="1:6" x14ac:dyDescent="0.25">
      <c r="A62" s="17"/>
      <c r="B62" s="15" t="str">
        <f>IF(ISBLANK(A62), "", VLOOKUP(A62, Menu!$A$2:$D$18, 2, FALSE))</f>
        <v/>
      </c>
      <c r="C62" s="15" t="str">
        <f>IF(ISBLANK(A62), "", VLOOKUP(A62, Menu!$A$2:$D$18, 3, FALSE))</f>
        <v/>
      </c>
      <c r="D62" s="16" t="str">
        <f>IF(ISBLANK(A62), "", VLOOKUP(A62, Menu!$A$2:$D$18, 4, FALSE))</f>
        <v/>
      </c>
      <c r="E62" s="17"/>
      <c r="F62" s="16" t="str">
        <f t="shared" si="0"/>
        <v/>
      </c>
    </row>
    <row r="63" spans="1:6" x14ac:dyDescent="0.25">
      <c r="A63" s="17"/>
      <c r="B63" s="15" t="str">
        <f>IF(ISBLANK(A63), "", VLOOKUP(A63, Menu!$A$2:$D$18, 2, FALSE))</f>
        <v/>
      </c>
      <c r="C63" s="15" t="str">
        <f>IF(ISBLANK(A63), "", VLOOKUP(A63, Menu!$A$2:$D$18, 3, FALSE))</f>
        <v/>
      </c>
      <c r="D63" s="16" t="str">
        <f>IF(ISBLANK(A63), "", VLOOKUP(A63, Menu!$A$2:$D$18, 4, FALSE))</f>
        <v/>
      </c>
      <c r="E63" s="17"/>
      <c r="F63" s="16" t="str">
        <f t="shared" si="0"/>
        <v/>
      </c>
    </row>
    <row r="64" spans="1:6" x14ac:dyDescent="0.25">
      <c r="A64" s="17"/>
      <c r="B64" s="15" t="str">
        <f>IF(ISBLANK(A64), "", VLOOKUP(A64, Menu!$A$2:$D$18, 2, FALSE))</f>
        <v/>
      </c>
      <c r="C64" s="15" t="str">
        <f>IF(ISBLANK(A64), "", VLOOKUP(A64, Menu!$A$2:$D$18, 3, FALSE))</f>
        <v/>
      </c>
      <c r="D64" s="16" t="str">
        <f>IF(ISBLANK(A64), "", VLOOKUP(A64, Menu!$A$2:$D$18, 4, FALSE))</f>
        <v/>
      </c>
      <c r="E64" s="17"/>
      <c r="F64" s="16" t="str">
        <f t="shared" si="0"/>
        <v/>
      </c>
    </row>
    <row r="65" spans="1:6" x14ac:dyDescent="0.25">
      <c r="A65" s="17"/>
      <c r="B65" s="15" t="str">
        <f>IF(ISBLANK(A65), "", VLOOKUP(A65, Menu!$A$2:$D$18, 2, FALSE))</f>
        <v/>
      </c>
      <c r="C65" s="15" t="str">
        <f>IF(ISBLANK(A65), "", VLOOKUP(A65, Menu!$A$2:$D$18, 3, FALSE))</f>
        <v/>
      </c>
      <c r="D65" s="16" t="str">
        <f>IF(ISBLANK(A65), "", VLOOKUP(A65, Menu!$A$2:$D$18, 4, FALSE))</f>
        <v/>
      </c>
      <c r="E65" s="17"/>
      <c r="F65" s="16" t="str">
        <f t="shared" si="0"/>
        <v/>
      </c>
    </row>
    <row r="66" spans="1:6" x14ac:dyDescent="0.25">
      <c r="A66" s="17"/>
      <c r="B66" s="15" t="str">
        <f>IF(ISBLANK(A66), "", VLOOKUP(A66, Menu!$A$2:$D$18, 2, FALSE))</f>
        <v/>
      </c>
      <c r="C66" s="15" t="str">
        <f>IF(ISBLANK(A66), "", VLOOKUP(A66, Menu!$A$2:$D$18, 3, FALSE))</f>
        <v/>
      </c>
      <c r="D66" s="16" t="str">
        <f>IF(ISBLANK(A66), "", VLOOKUP(A66, Menu!$A$2:$D$18, 4, FALSE))</f>
        <v/>
      </c>
      <c r="E66" s="17"/>
      <c r="F66" s="16" t="str">
        <f t="shared" si="0"/>
        <v/>
      </c>
    </row>
    <row r="67" spans="1:6" x14ac:dyDescent="0.25">
      <c r="A67" s="17"/>
      <c r="B67" s="15" t="str">
        <f>IF(ISBLANK(A67), "", VLOOKUP(A67, Menu!$A$2:$D$18, 2, FALSE))</f>
        <v/>
      </c>
      <c r="C67" s="15" t="str">
        <f>IF(ISBLANK(A67), "", VLOOKUP(A67, Menu!$A$2:$D$18, 3, FALSE))</f>
        <v/>
      </c>
      <c r="D67" s="16" t="str">
        <f>IF(ISBLANK(A67), "", VLOOKUP(A67, Menu!$A$2:$D$18, 4, FALSE))</f>
        <v/>
      </c>
      <c r="E67" s="17"/>
      <c r="F67" s="16" t="str">
        <f t="shared" si="0"/>
        <v/>
      </c>
    </row>
    <row r="68" spans="1:6" x14ac:dyDescent="0.25">
      <c r="A68" s="17"/>
      <c r="B68" s="15" t="str">
        <f>IF(ISBLANK(A68), "", VLOOKUP(A68, Menu!$A$2:$D$18, 2, FALSE))</f>
        <v/>
      </c>
      <c r="C68" s="15" t="str">
        <f>IF(ISBLANK(A68), "", VLOOKUP(A68, Menu!$A$2:$D$18, 3, FALSE))</f>
        <v/>
      </c>
      <c r="D68" s="16" t="str">
        <f>IF(ISBLANK(A68), "", VLOOKUP(A68, Menu!$A$2:$D$18, 4, FALSE))</f>
        <v/>
      </c>
      <c r="E68" s="17"/>
      <c r="F68" s="16" t="str">
        <f t="shared" si="0"/>
        <v/>
      </c>
    </row>
    <row r="69" spans="1:6" x14ac:dyDescent="0.25">
      <c r="A69" s="17"/>
      <c r="B69" s="15" t="str">
        <f>IF(ISBLANK(A69), "", VLOOKUP(A69, Menu!$A$2:$D$18, 2, FALSE))</f>
        <v/>
      </c>
      <c r="C69" s="15" t="str">
        <f>IF(ISBLANK(A69), "", VLOOKUP(A69, Menu!$A$2:$D$18, 3, FALSE))</f>
        <v/>
      </c>
      <c r="D69" s="16" t="str">
        <f>IF(ISBLANK(A69), "", VLOOKUP(A69, Menu!$A$2:$D$18, 4, FALSE))</f>
        <v/>
      </c>
      <c r="E69" s="17"/>
      <c r="F69" s="16" t="str">
        <f t="shared" si="0"/>
        <v/>
      </c>
    </row>
    <row r="70" spans="1:6" x14ac:dyDescent="0.25">
      <c r="A70" s="17"/>
      <c r="B70" s="15" t="str">
        <f>IF(ISBLANK(A70), "", VLOOKUP(A70, Menu!$A$2:$D$18, 2, FALSE))</f>
        <v/>
      </c>
      <c r="C70" s="15" t="str">
        <f>IF(ISBLANK(A70), "", VLOOKUP(A70, Menu!$A$2:$D$18, 3, FALSE))</f>
        <v/>
      </c>
      <c r="D70" s="16" t="str">
        <f>IF(ISBLANK(A70), "", VLOOKUP(A70, Menu!$A$2:$D$18, 4, FALSE))</f>
        <v/>
      </c>
      <c r="E70" s="17"/>
      <c r="F70" s="16" t="str">
        <f t="shared" si="0"/>
        <v/>
      </c>
    </row>
    <row r="71" spans="1:6" x14ac:dyDescent="0.25">
      <c r="A71" s="17"/>
      <c r="B71" s="15" t="str">
        <f>IF(ISBLANK(A71), "", VLOOKUP(A71, Menu!$A$2:$D$18, 2, FALSE))</f>
        <v/>
      </c>
      <c r="C71" s="15" t="str">
        <f>IF(ISBLANK(A71), "", VLOOKUP(A71, Menu!$A$2:$D$18, 3, FALSE))</f>
        <v/>
      </c>
      <c r="D71" s="16" t="str">
        <f>IF(ISBLANK(A71), "", VLOOKUP(A71, Menu!$A$2:$D$18, 4, FALSE))</f>
        <v/>
      </c>
      <c r="E71" s="17"/>
      <c r="F71" s="16" t="str">
        <f t="shared" si="0"/>
        <v/>
      </c>
    </row>
    <row r="72" spans="1:6" x14ac:dyDescent="0.25">
      <c r="A72" s="17"/>
      <c r="B72" s="15" t="str">
        <f>IF(ISBLANK(A72), "", VLOOKUP(A72, Menu!$A$2:$D$18, 2, FALSE))</f>
        <v/>
      </c>
      <c r="C72" s="15" t="str">
        <f>IF(ISBLANK(A72), "", VLOOKUP(A72, Menu!$A$2:$D$18, 3, FALSE))</f>
        <v/>
      </c>
      <c r="D72" s="16" t="str">
        <f>IF(ISBLANK(A72), "", VLOOKUP(A72, Menu!$A$2:$D$18, 4, FALSE))</f>
        <v/>
      </c>
      <c r="E72" s="17"/>
      <c r="F72" s="16" t="str">
        <f t="shared" si="0"/>
        <v/>
      </c>
    </row>
    <row r="73" spans="1:6" x14ac:dyDescent="0.25">
      <c r="A73" s="17"/>
      <c r="B73" s="15" t="str">
        <f>IF(ISBLANK(A73), "", VLOOKUP(A73, Menu!$A$2:$D$18, 2, FALSE))</f>
        <v/>
      </c>
      <c r="C73" s="15" t="str">
        <f>IF(ISBLANK(A73), "", VLOOKUP(A73, Menu!$A$2:$D$18, 3, FALSE))</f>
        <v/>
      </c>
      <c r="D73" s="16" t="str">
        <f>IF(ISBLANK(A73), "", VLOOKUP(A73, Menu!$A$2:$D$18, 4, FALSE))</f>
        <v/>
      </c>
      <c r="E73" s="17"/>
      <c r="F73" s="16" t="str">
        <f t="shared" ref="F73:F99" si="1">IF(ISBLANK(A73), "", D73*E73)</f>
        <v/>
      </c>
    </row>
    <row r="74" spans="1:6" x14ac:dyDescent="0.25">
      <c r="A74" s="17"/>
      <c r="B74" s="15" t="str">
        <f>IF(ISBLANK(A74), "", VLOOKUP(A74, Menu!$A$2:$D$18, 2, FALSE))</f>
        <v/>
      </c>
      <c r="C74" s="15" t="str">
        <f>IF(ISBLANK(A74), "", VLOOKUP(A74, Menu!$A$2:$D$18, 3, FALSE))</f>
        <v/>
      </c>
      <c r="D74" s="16" t="str">
        <f>IF(ISBLANK(A74), "", VLOOKUP(A74, Menu!$A$2:$D$18, 4, FALSE))</f>
        <v/>
      </c>
      <c r="E74" s="17"/>
      <c r="F74" s="16" t="str">
        <f t="shared" si="1"/>
        <v/>
      </c>
    </row>
    <row r="75" spans="1:6" x14ac:dyDescent="0.25">
      <c r="A75" s="17"/>
      <c r="B75" s="15" t="str">
        <f>IF(ISBLANK(A75), "", VLOOKUP(A75, Menu!$A$2:$D$18, 2, FALSE))</f>
        <v/>
      </c>
      <c r="C75" s="15" t="str">
        <f>IF(ISBLANK(A75), "", VLOOKUP(A75, Menu!$A$2:$D$18, 3, FALSE))</f>
        <v/>
      </c>
      <c r="D75" s="16" t="str">
        <f>IF(ISBLANK(A75), "", VLOOKUP(A75, Menu!$A$2:$D$18, 4, FALSE))</f>
        <v/>
      </c>
      <c r="E75" s="17"/>
      <c r="F75" s="16" t="str">
        <f t="shared" si="1"/>
        <v/>
      </c>
    </row>
    <row r="76" spans="1:6" x14ac:dyDescent="0.25">
      <c r="A76" s="17"/>
      <c r="B76" s="15" t="str">
        <f>IF(ISBLANK(A76), "", VLOOKUP(A76, Menu!$A$2:$D$18, 2, FALSE))</f>
        <v/>
      </c>
      <c r="C76" s="15" t="str">
        <f>IF(ISBLANK(A76), "", VLOOKUP(A76, Menu!$A$2:$D$18, 3, FALSE))</f>
        <v/>
      </c>
      <c r="D76" s="16" t="str">
        <f>IF(ISBLANK(A76), "", VLOOKUP(A76, Menu!$A$2:$D$18, 4, FALSE))</f>
        <v/>
      </c>
      <c r="E76" s="17"/>
      <c r="F76" s="16" t="str">
        <f t="shared" si="1"/>
        <v/>
      </c>
    </row>
    <row r="77" spans="1:6" x14ac:dyDescent="0.25">
      <c r="A77" s="17"/>
      <c r="B77" s="15" t="str">
        <f>IF(ISBLANK(A77), "", VLOOKUP(A77, Menu!$A$2:$D$18, 2, FALSE))</f>
        <v/>
      </c>
      <c r="C77" s="15" t="str">
        <f>IF(ISBLANK(A77), "", VLOOKUP(A77, Menu!$A$2:$D$18, 3, FALSE))</f>
        <v/>
      </c>
      <c r="D77" s="16" t="str">
        <f>IF(ISBLANK(A77), "", VLOOKUP(A77, Menu!$A$2:$D$18, 4, FALSE))</f>
        <v/>
      </c>
      <c r="E77" s="17"/>
      <c r="F77" s="16" t="str">
        <f t="shared" si="1"/>
        <v/>
      </c>
    </row>
    <row r="78" spans="1:6" x14ac:dyDescent="0.25">
      <c r="A78" s="17"/>
      <c r="B78" s="15" t="str">
        <f>IF(ISBLANK(A78), "", VLOOKUP(A78, Menu!$A$2:$D$18, 2, FALSE))</f>
        <v/>
      </c>
      <c r="C78" s="15" t="str">
        <f>IF(ISBLANK(A78), "", VLOOKUP(A78, Menu!$A$2:$D$18, 3, FALSE))</f>
        <v/>
      </c>
      <c r="D78" s="16" t="str">
        <f>IF(ISBLANK(A78), "", VLOOKUP(A78, Menu!$A$2:$D$18, 4, FALSE))</f>
        <v/>
      </c>
      <c r="E78" s="17"/>
      <c r="F78" s="16" t="str">
        <f t="shared" si="1"/>
        <v/>
      </c>
    </row>
    <row r="79" spans="1:6" x14ac:dyDescent="0.25">
      <c r="A79" s="17"/>
      <c r="B79" s="15" t="str">
        <f>IF(ISBLANK(A79), "", VLOOKUP(A79, Menu!$A$2:$D$18, 2, FALSE))</f>
        <v/>
      </c>
      <c r="C79" s="15" t="str">
        <f>IF(ISBLANK(A79), "", VLOOKUP(A79, Menu!$A$2:$D$18, 3, FALSE))</f>
        <v/>
      </c>
      <c r="D79" s="16" t="str">
        <f>IF(ISBLANK(A79), "", VLOOKUP(A79, Menu!$A$2:$D$18, 4, FALSE))</f>
        <v/>
      </c>
      <c r="E79" s="17"/>
      <c r="F79" s="16" t="str">
        <f t="shared" si="1"/>
        <v/>
      </c>
    </row>
    <row r="80" spans="1:6" x14ac:dyDescent="0.25">
      <c r="A80" s="17"/>
      <c r="B80" s="15" t="str">
        <f>IF(ISBLANK(A80), "", VLOOKUP(A80, Menu!$A$2:$D$18, 2, FALSE))</f>
        <v/>
      </c>
      <c r="C80" s="15" t="str">
        <f>IF(ISBLANK(A80), "", VLOOKUP(A80, Menu!$A$2:$D$18, 3, FALSE))</f>
        <v/>
      </c>
      <c r="D80" s="16" t="str">
        <f>IF(ISBLANK(A80), "", VLOOKUP(A80, Menu!$A$2:$D$18, 4, FALSE))</f>
        <v/>
      </c>
      <c r="E80" s="17"/>
      <c r="F80" s="16" t="str">
        <f t="shared" si="1"/>
        <v/>
      </c>
    </row>
    <row r="81" spans="1:6" x14ac:dyDescent="0.25">
      <c r="A81" s="17"/>
      <c r="B81" s="15" t="str">
        <f>IF(ISBLANK(A81), "", VLOOKUP(A81, Menu!$A$2:$D$18, 2, FALSE))</f>
        <v/>
      </c>
      <c r="C81" s="15" t="str">
        <f>IF(ISBLANK(A81), "", VLOOKUP(A81, Menu!$A$2:$D$18, 3, FALSE))</f>
        <v/>
      </c>
      <c r="D81" s="16" t="str">
        <f>IF(ISBLANK(A81), "", VLOOKUP(A81, Menu!$A$2:$D$18, 4, FALSE))</f>
        <v/>
      </c>
      <c r="E81" s="17"/>
      <c r="F81" s="16" t="str">
        <f t="shared" si="1"/>
        <v/>
      </c>
    </row>
    <row r="82" spans="1:6" x14ac:dyDescent="0.25">
      <c r="A82" s="17"/>
      <c r="B82" s="15" t="str">
        <f>IF(ISBLANK(A82), "", VLOOKUP(A82, Menu!$A$2:$D$18, 2, FALSE))</f>
        <v/>
      </c>
      <c r="C82" s="15" t="str">
        <f>IF(ISBLANK(A82), "", VLOOKUP(A82, Menu!$A$2:$D$18, 3, FALSE))</f>
        <v/>
      </c>
      <c r="D82" s="16" t="str">
        <f>IF(ISBLANK(A82), "", VLOOKUP(A82, Menu!$A$2:$D$18, 4, FALSE))</f>
        <v/>
      </c>
      <c r="E82" s="17"/>
      <c r="F82" s="16" t="str">
        <f t="shared" si="1"/>
        <v/>
      </c>
    </row>
    <row r="83" spans="1:6" x14ac:dyDescent="0.25">
      <c r="A83" s="17"/>
      <c r="B83" s="15" t="str">
        <f>IF(ISBLANK(A83), "", VLOOKUP(A83, Menu!$A$2:$D$18, 2, FALSE))</f>
        <v/>
      </c>
      <c r="C83" s="15" t="str">
        <f>IF(ISBLANK(A83), "", VLOOKUP(A83, Menu!$A$2:$D$18, 3, FALSE))</f>
        <v/>
      </c>
      <c r="D83" s="16" t="str">
        <f>IF(ISBLANK(A83), "", VLOOKUP(A83, Menu!$A$2:$D$18, 4, FALSE))</f>
        <v/>
      </c>
      <c r="E83" s="17"/>
      <c r="F83" s="16" t="str">
        <f t="shared" si="1"/>
        <v/>
      </c>
    </row>
    <row r="84" spans="1:6" x14ac:dyDescent="0.25">
      <c r="A84" s="17"/>
      <c r="B84" s="15" t="str">
        <f>IF(ISBLANK(A84), "", VLOOKUP(A84, Menu!$A$2:$D$18, 2, FALSE))</f>
        <v/>
      </c>
      <c r="C84" s="15" t="str">
        <f>IF(ISBLANK(A84), "", VLOOKUP(A84, Menu!$A$2:$D$18, 3, FALSE))</f>
        <v/>
      </c>
      <c r="D84" s="16" t="str">
        <f>IF(ISBLANK(A84), "", VLOOKUP(A84, Menu!$A$2:$D$18, 4, FALSE))</f>
        <v/>
      </c>
      <c r="E84" s="17"/>
      <c r="F84" s="16" t="str">
        <f t="shared" si="1"/>
        <v/>
      </c>
    </row>
    <row r="85" spans="1:6" x14ac:dyDescent="0.25">
      <c r="A85" s="17"/>
      <c r="B85" s="15" t="str">
        <f>IF(ISBLANK(A85), "", VLOOKUP(A85, Menu!$A$2:$D$18, 2, FALSE))</f>
        <v/>
      </c>
      <c r="C85" s="15" t="str">
        <f>IF(ISBLANK(A85), "", VLOOKUP(A85, Menu!$A$2:$D$18, 3, FALSE))</f>
        <v/>
      </c>
      <c r="D85" s="16" t="str">
        <f>IF(ISBLANK(A85), "", VLOOKUP(A85, Menu!$A$2:$D$18, 4, FALSE))</f>
        <v/>
      </c>
      <c r="E85" s="17"/>
      <c r="F85" s="16" t="str">
        <f t="shared" si="1"/>
        <v/>
      </c>
    </row>
    <row r="86" spans="1:6" x14ac:dyDescent="0.25">
      <c r="A86" s="17"/>
      <c r="B86" s="15" t="str">
        <f>IF(ISBLANK(A86), "", VLOOKUP(A86, Menu!$A$2:$D$18, 2, FALSE))</f>
        <v/>
      </c>
      <c r="C86" s="15" t="str">
        <f>IF(ISBLANK(A86), "", VLOOKUP(A86, Menu!$A$2:$D$18, 3, FALSE))</f>
        <v/>
      </c>
      <c r="D86" s="16" t="str">
        <f>IF(ISBLANK(A86), "", VLOOKUP(A86, Menu!$A$2:$D$18, 4, FALSE))</f>
        <v/>
      </c>
      <c r="E86" s="17"/>
      <c r="F86" s="16" t="str">
        <f t="shared" si="1"/>
        <v/>
      </c>
    </row>
    <row r="87" spans="1:6" x14ac:dyDescent="0.25">
      <c r="A87" s="17"/>
      <c r="B87" s="15" t="str">
        <f>IF(ISBLANK(A87), "", VLOOKUP(A87, Menu!$A$2:$D$18, 2, FALSE))</f>
        <v/>
      </c>
      <c r="C87" s="15" t="str">
        <f>IF(ISBLANK(A87), "", VLOOKUP(A87, Menu!$A$2:$D$18, 3, FALSE))</f>
        <v/>
      </c>
      <c r="D87" s="16" t="str">
        <f>IF(ISBLANK(A87), "", VLOOKUP(A87, Menu!$A$2:$D$18, 4, FALSE))</f>
        <v/>
      </c>
      <c r="E87" s="17"/>
      <c r="F87" s="16" t="str">
        <f t="shared" si="1"/>
        <v/>
      </c>
    </row>
    <row r="88" spans="1:6" x14ac:dyDescent="0.25">
      <c r="A88" s="17"/>
      <c r="B88" s="15" t="str">
        <f>IF(ISBLANK(A88), "", VLOOKUP(A88, Menu!$A$2:$D$18, 2, FALSE))</f>
        <v/>
      </c>
      <c r="C88" s="15" t="str">
        <f>IF(ISBLANK(A88), "", VLOOKUP(A88, Menu!$A$2:$D$18, 3, FALSE))</f>
        <v/>
      </c>
      <c r="D88" s="16" t="str">
        <f>IF(ISBLANK(A88), "", VLOOKUP(A88, Menu!$A$2:$D$18, 4, FALSE))</f>
        <v/>
      </c>
      <c r="E88" s="17"/>
      <c r="F88" s="16" t="str">
        <f t="shared" si="1"/>
        <v/>
      </c>
    </row>
    <row r="89" spans="1:6" x14ac:dyDescent="0.25">
      <c r="A89" s="17"/>
      <c r="B89" s="15" t="str">
        <f>IF(ISBLANK(A89), "", VLOOKUP(A89, Menu!$A$2:$D$18, 2, FALSE))</f>
        <v/>
      </c>
      <c r="C89" s="15" t="str">
        <f>IF(ISBLANK(A89), "", VLOOKUP(A89, Menu!$A$2:$D$18, 3, FALSE))</f>
        <v/>
      </c>
      <c r="D89" s="16" t="str">
        <f>IF(ISBLANK(A89), "", VLOOKUP(A89, Menu!$A$2:$D$18, 4, FALSE))</f>
        <v/>
      </c>
      <c r="E89" s="17"/>
      <c r="F89" s="16" t="str">
        <f t="shared" si="1"/>
        <v/>
      </c>
    </row>
    <row r="90" spans="1:6" x14ac:dyDescent="0.25">
      <c r="A90" s="17"/>
      <c r="B90" s="15" t="str">
        <f>IF(ISBLANK(A90), "", VLOOKUP(A90, Menu!$A$2:$D$18, 2, FALSE))</f>
        <v/>
      </c>
      <c r="C90" s="15" t="str">
        <f>IF(ISBLANK(A90), "", VLOOKUP(A90, Menu!$A$2:$D$18, 3, FALSE))</f>
        <v/>
      </c>
      <c r="D90" s="16" t="str">
        <f>IF(ISBLANK(A90), "", VLOOKUP(A90, Menu!$A$2:$D$18, 4, FALSE))</f>
        <v/>
      </c>
      <c r="E90" s="17"/>
      <c r="F90" s="16" t="str">
        <f t="shared" si="1"/>
        <v/>
      </c>
    </row>
    <row r="91" spans="1:6" x14ac:dyDescent="0.25">
      <c r="A91" s="17"/>
      <c r="B91" s="15" t="str">
        <f>IF(ISBLANK(A91), "", VLOOKUP(A91, Menu!$A$2:$D$18, 2, FALSE))</f>
        <v/>
      </c>
      <c r="C91" s="15" t="str">
        <f>IF(ISBLANK(A91), "", VLOOKUP(A91, Menu!$A$2:$D$18, 3, FALSE))</f>
        <v/>
      </c>
      <c r="D91" s="16" t="str">
        <f>IF(ISBLANK(A91), "", VLOOKUP(A91, Menu!$A$2:$D$18, 4, FALSE))</f>
        <v/>
      </c>
      <c r="E91" s="17"/>
      <c r="F91" s="16" t="str">
        <f t="shared" si="1"/>
        <v/>
      </c>
    </row>
    <row r="92" spans="1:6" x14ac:dyDescent="0.25">
      <c r="A92" s="17"/>
      <c r="B92" s="15" t="str">
        <f>IF(ISBLANK(A92), "", VLOOKUP(A92, Menu!$A$2:$D$18, 2, FALSE))</f>
        <v/>
      </c>
      <c r="C92" s="15" t="str">
        <f>IF(ISBLANK(A92), "", VLOOKUP(A92, Menu!$A$2:$D$18, 3, FALSE))</f>
        <v/>
      </c>
      <c r="D92" s="16" t="str">
        <f>IF(ISBLANK(A92), "", VLOOKUP(A92, Menu!$A$2:$D$18, 4, FALSE))</f>
        <v/>
      </c>
      <c r="E92" s="17"/>
      <c r="F92" s="16" t="str">
        <f t="shared" si="1"/>
        <v/>
      </c>
    </row>
    <row r="93" spans="1:6" x14ac:dyDescent="0.25">
      <c r="A93" s="17"/>
      <c r="B93" s="15" t="str">
        <f>IF(ISBLANK(A93), "", VLOOKUP(A93, Menu!$A$2:$D$18, 2, FALSE))</f>
        <v/>
      </c>
      <c r="C93" s="15" t="str">
        <f>IF(ISBLANK(A93), "", VLOOKUP(A93, Menu!$A$2:$D$18, 3, FALSE))</f>
        <v/>
      </c>
      <c r="D93" s="16" t="str">
        <f>IF(ISBLANK(A93), "", VLOOKUP(A93, Menu!$A$2:$D$18, 4, FALSE))</f>
        <v/>
      </c>
      <c r="E93" s="17"/>
      <c r="F93" s="16" t="str">
        <f t="shared" si="1"/>
        <v/>
      </c>
    </row>
    <row r="94" spans="1:6" x14ac:dyDescent="0.25">
      <c r="A94" s="17"/>
      <c r="B94" s="15" t="str">
        <f>IF(ISBLANK(A94), "", VLOOKUP(A94, Menu!$A$2:$D$18, 2, FALSE))</f>
        <v/>
      </c>
      <c r="C94" s="15" t="str">
        <f>IF(ISBLANK(A94), "", VLOOKUP(A94, Menu!$A$2:$D$18, 3, FALSE))</f>
        <v/>
      </c>
      <c r="D94" s="16" t="str">
        <f>IF(ISBLANK(A94), "", VLOOKUP(A94, Menu!$A$2:$D$18, 4, FALSE))</f>
        <v/>
      </c>
      <c r="E94" s="17"/>
      <c r="F94" s="16" t="str">
        <f t="shared" si="1"/>
        <v/>
      </c>
    </row>
    <row r="95" spans="1:6" x14ac:dyDescent="0.25">
      <c r="A95" s="17"/>
      <c r="B95" s="15" t="str">
        <f>IF(ISBLANK(A95), "", VLOOKUP(A95, Menu!$A$2:$D$18, 2, FALSE))</f>
        <v/>
      </c>
      <c r="C95" s="15" t="str">
        <f>IF(ISBLANK(A95), "", VLOOKUP(A95, Menu!$A$2:$D$18, 3, FALSE))</f>
        <v/>
      </c>
      <c r="D95" s="16" t="str">
        <f>IF(ISBLANK(A95), "", VLOOKUP(A95, Menu!$A$2:$D$18, 4, FALSE))</f>
        <v/>
      </c>
      <c r="E95" s="17"/>
      <c r="F95" s="16" t="str">
        <f t="shared" si="1"/>
        <v/>
      </c>
    </row>
    <row r="96" spans="1:6" x14ac:dyDescent="0.25">
      <c r="A96" s="17"/>
      <c r="B96" s="15" t="str">
        <f>IF(ISBLANK(A96), "", VLOOKUP(A96, Menu!$A$2:$D$18, 2, FALSE))</f>
        <v/>
      </c>
      <c r="C96" s="15" t="str">
        <f>IF(ISBLANK(A96), "", VLOOKUP(A96, Menu!$A$2:$D$18, 3, FALSE))</f>
        <v/>
      </c>
      <c r="D96" s="16" t="str">
        <f>IF(ISBLANK(A96), "", VLOOKUP(A96, Menu!$A$2:$D$18, 4, FALSE))</f>
        <v/>
      </c>
      <c r="E96" s="17"/>
      <c r="F96" s="16" t="str">
        <f t="shared" si="1"/>
        <v/>
      </c>
    </row>
    <row r="97" spans="1:6" x14ac:dyDescent="0.25">
      <c r="A97" s="17"/>
      <c r="B97" s="15" t="str">
        <f>IF(ISBLANK(A97), "", VLOOKUP(A97, Menu!$A$2:$D$18, 2, FALSE))</f>
        <v/>
      </c>
      <c r="C97" s="15" t="str">
        <f>IF(ISBLANK(A97), "", VLOOKUP(A97, Menu!$A$2:$D$18, 3, FALSE))</f>
        <v/>
      </c>
      <c r="D97" s="16" t="str">
        <f>IF(ISBLANK(A97), "", VLOOKUP(A97, Menu!$A$2:$D$18, 4, FALSE))</f>
        <v/>
      </c>
      <c r="E97" s="17"/>
      <c r="F97" s="16" t="str">
        <f t="shared" si="1"/>
        <v/>
      </c>
    </row>
    <row r="98" spans="1:6" x14ac:dyDescent="0.25">
      <c r="A98" s="17"/>
      <c r="B98" s="15" t="str">
        <f>IF(ISBLANK(A98), "", VLOOKUP(A98, Menu!$A$2:$D$18, 2, FALSE))</f>
        <v/>
      </c>
      <c r="C98" s="15" t="str">
        <f>IF(ISBLANK(A98), "", VLOOKUP(A98, Menu!$A$2:$D$18, 3, FALSE))</f>
        <v/>
      </c>
      <c r="D98" s="16" t="str">
        <f>IF(ISBLANK(A98), "", VLOOKUP(A98, Menu!$A$2:$D$18, 4, FALSE))</f>
        <v/>
      </c>
      <c r="E98" s="17"/>
      <c r="F98" s="16" t="str">
        <f t="shared" si="1"/>
        <v/>
      </c>
    </row>
    <row r="99" spans="1:6" x14ac:dyDescent="0.25">
      <c r="A99" s="17"/>
      <c r="B99" s="15" t="str">
        <f>IF(ISBLANK(A99), "", VLOOKUP(A99, Menu!$A$2:$D$18, 2, FALSE))</f>
        <v/>
      </c>
      <c r="C99" s="15" t="str">
        <f>IF(ISBLANK(A99), "", VLOOKUP(A99, Menu!$A$2:$D$18, 3, FALSE))</f>
        <v/>
      </c>
      <c r="D99" s="16" t="str">
        <f>IF(ISBLANK(A99), "", VLOOKUP(A99, Menu!$A$2:$D$18, 4, FALSE))</f>
        <v/>
      </c>
      <c r="E99" s="17"/>
      <c r="F99" s="16" t="str">
        <f t="shared" si="1"/>
        <v/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8E054-C464-4C32-9CD3-EF3BF89F6154}">
  <sheetPr codeName="Sheet7"/>
  <dimension ref="A1:F99"/>
  <sheetViews>
    <sheetView workbookViewId="0">
      <selection activeCell="E5" sqref="E5"/>
    </sheetView>
  </sheetViews>
  <sheetFormatPr defaultRowHeight="15" x14ac:dyDescent="0.25"/>
  <cols>
    <col min="1" max="1" width="60.140625" style="13" bestFit="1" customWidth="1"/>
    <col min="2" max="2" width="46" style="13" bestFit="1" customWidth="1"/>
    <col min="3" max="3" width="39.140625" style="13" customWidth="1"/>
    <col min="4" max="4" width="11" style="13" bestFit="1" customWidth="1"/>
    <col min="5" max="5" width="19" style="13" customWidth="1"/>
    <col min="6" max="6" width="36" style="13" customWidth="1"/>
  </cols>
  <sheetData>
    <row r="1" spans="1:6" ht="20.25" x14ac:dyDescent="0.3">
      <c r="A1" s="1" t="s">
        <v>0</v>
      </c>
      <c r="B1" s="6" t="s">
        <v>14</v>
      </c>
      <c r="C1" s="7">
        <f>SUM(F8:F100)</f>
        <v>0</v>
      </c>
      <c r="F1"/>
    </row>
    <row r="2" spans="1:6" ht="15.75" thickBot="1" x14ac:dyDescent="0.3">
      <c r="A2" s="2" t="s">
        <v>22</v>
      </c>
      <c r="B2" s="6" t="s">
        <v>15</v>
      </c>
      <c r="C2" s="8">
        <v>0</v>
      </c>
      <c r="F2"/>
    </row>
    <row r="3" spans="1:6" ht="15.75" thickBot="1" x14ac:dyDescent="0.3">
      <c r="B3" s="6"/>
      <c r="C3" s="9">
        <f>C1+C2</f>
        <v>0</v>
      </c>
    </row>
    <row r="4" spans="1:6" x14ac:dyDescent="0.25">
      <c r="A4" s="3" t="s">
        <v>2</v>
      </c>
      <c r="B4" s="4" t="s">
        <v>23</v>
      </c>
      <c r="D4" s="3" t="s">
        <v>4</v>
      </c>
      <c r="E4" s="14">
        <f ca="1">TODAY()</f>
        <v>46316</v>
      </c>
    </row>
    <row r="5" spans="1:6" x14ac:dyDescent="0.25">
      <c r="A5" s="3" t="s">
        <v>5</v>
      </c>
      <c r="B5" s="18">
        <v>4</v>
      </c>
      <c r="D5" s="3" t="s">
        <v>6</v>
      </c>
      <c r="E5" s="4" t="s">
        <v>24</v>
      </c>
    </row>
    <row r="6" spans="1:6" ht="15.75" thickBot="1" x14ac:dyDescent="0.3"/>
    <row r="7" spans="1:6" ht="15.75" thickBot="1" x14ac:dyDescent="0.3">
      <c r="A7" s="5" t="s">
        <v>8</v>
      </c>
      <c r="B7" s="5" t="s">
        <v>9</v>
      </c>
      <c r="C7" s="5" t="s">
        <v>10</v>
      </c>
      <c r="D7" s="5" t="s">
        <v>11</v>
      </c>
      <c r="E7" s="5" t="s">
        <v>12</v>
      </c>
      <c r="F7" s="5" t="s">
        <v>13</v>
      </c>
    </row>
    <row r="8" spans="1:6" x14ac:dyDescent="0.25">
      <c r="A8" s="17"/>
      <c r="B8" s="15" t="str">
        <f>IF(ISBLANK(A8), "", VLOOKUP(A8, Menu!$A$2:$D$18, 2, FALSE))</f>
        <v/>
      </c>
      <c r="C8" s="15" t="str">
        <f>IF(ISBLANK(A8), "", VLOOKUP(A8, Menu!$A$2:$D$18, 3, FALSE))</f>
        <v/>
      </c>
      <c r="D8" s="16" t="str">
        <f>IF(ISBLANK(A8), "", VLOOKUP(A8, Menu!$A$2:$D$18, 4, FALSE))</f>
        <v/>
      </c>
      <c r="E8" s="17"/>
      <c r="F8" s="16" t="str">
        <f>IF(ISBLANK(A8), "", D8*E8)</f>
        <v/>
      </c>
    </row>
    <row r="9" spans="1:6" x14ac:dyDescent="0.25">
      <c r="A9" s="17"/>
      <c r="B9" s="15" t="str">
        <f>IF(ISBLANK(A9), "", VLOOKUP(A9, Menu!$A$2:$D$18, 2, FALSE))</f>
        <v/>
      </c>
      <c r="C9" s="15" t="str">
        <f>IF(ISBLANK(A9), "", VLOOKUP(A9, Menu!$A$2:$D$18, 3, FALSE))</f>
        <v/>
      </c>
      <c r="D9" s="16" t="str">
        <f>IF(ISBLANK(A9), "", VLOOKUP(A9, Menu!$A$2:$D$18, 4, FALSE))</f>
        <v/>
      </c>
      <c r="E9" s="17"/>
      <c r="F9" s="16" t="str">
        <f t="shared" ref="F9:F72" si="0">IF(ISBLANK(A9), "", D9*E9)</f>
        <v/>
      </c>
    </row>
    <row r="10" spans="1:6" x14ac:dyDescent="0.25">
      <c r="A10" s="17"/>
      <c r="B10" s="15" t="str">
        <f>IF(ISBLANK(A10), "", VLOOKUP(A10, Menu!$A$2:$D$18, 2, FALSE))</f>
        <v/>
      </c>
      <c r="C10" s="15" t="str">
        <f>IF(ISBLANK(A10), "", VLOOKUP(A10, Menu!$A$2:$D$18, 3, FALSE))</f>
        <v/>
      </c>
      <c r="D10" s="16" t="str">
        <f>IF(ISBLANK(A10), "", VLOOKUP(A10, Menu!$A$2:$D$18, 4, FALSE))</f>
        <v/>
      </c>
      <c r="E10" s="17"/>
      <c r="F10" s="16" t="str">
        <f t="shared" si="0"/>
        <v/>
      </c>
    </row>
    <row r="11" spans="1:6" x14ac:dyDescent="0.25">
      <c r="A11" s="17"/>
      <c r="B11" s="15" t="str">
        <f>IF(ISBLANK(A11), "", VLOOKUP(A11, Menu!$A$2:$D$18, 2, FALSE))</f>
        <v/>
      </c>
      <c r="C11" s="15" t="str">
        <f>IF(ISBLANK(A11), "", VLOOKUP(A11, Menu!$A$2:$D$18, 3, FALSE))</f>
        <v/>
      </c>
      <c r="D11" s="16" t="str">
        <f>IF(ISBLANK(A11), "", VLOOKUP(A11, Menu!$A$2:$D$18, 4, FALSE))</f>
        <v/>
      </c>
      <c r="E11" s="17"/>
      <c r="F11" s="16" t="str">
        <f t="shared" si="0"/>
        <v/>
      </c>
    </row>
    <row r="12" spans="1:6" x14ac:dyDescent="0.25">
      <c r="A12" s="17"/>
      <c r="B12" s="15" t="str">
        <f>IF(ISBLANK(A12), "", VLOOKUP(A12, Menu!$A$2:$D$18, 2, FALSE))</f>
        <v/>
      </c>
      <c r="C12" s="15" t="str">
        <f>IF(ISBLANK(A12), "", VLOOKUP(A12, Menu!$A$2:$D$18, 3, FALSE))</f>
        <v/>
      </c>
      <c r="D12" s="16" t="str">
        <f>IF(ISBLANK(A12), "", VLOOKUP(A12, Menu!$A$2:$D$18, 4, FALSE))</f>
        <v/>
      </c>
      <c r="E12" s="17"/>
      <c r="F12" s="16" t="str">
        <f t="shared" si="0"/>
        <v/>
      </c>
    </row>
    <row r="13" spans="1:6" x14ac:dyDescent="0.25">
      <c r="A13" s="17"/>
      <c r="B13" s="15" t="str">
        <f>IF(ISBLANK(A13), "", VLOOKUP(A13, Menu!$A$2:$D$18, 2, FALSE))</f>
        <v/>
      </c>
      <c r="C13" s="15" t="str">
        <f>IF(ISBLANK(A13), "", VLOOKUP(A13, Menu!$A$2:$D$18, 3, FALSE))</f>
        <v/>
      </c>
      <c r="D13" s="16" t="str">
        <f>IF(ISBLANK(A13), "", VLOOKUP(A13, Menu!$A$2:$D$18, 4, FALSE))</f>
        <v/>
      </c>
      <c r="E13" s="17"/>
      <c r="F13" s="16" t="str">
        <f t="shared" si="0"/>
        <v/>
      </c>
    </row>
    <row r="14" spans="1:6" x14ac:dyDescent="0.25">
      <c r="A14" s="17"/>
      <c r="B14" s="15" t="str">
        <f>IF(ISBLANK(A14), "", VLOOKUP(A14, Menu!$A$2:$D$18, 2, FALSE))</f>
        <v/>
      </c>
      <c r="C14" s="15" t="str">
        <f>IF(ISBLANK(A14), "", VLOOKUP(A14, Menu!$A$2:$D$18, 3, FALSE))</f>
        <v/>
      </c>
      <c r="D14" s="16" t="str">
        <f>IF(ISBLANK(A14), "", VLOOKUP(A14, Menu!$A$2:$D$18, 4, FALSE))</f>
        <v/>
      </c>
      <c r="E14" s="17"/>
      <c r="F14" s="16" t="str">
        <f t="shared" si="0"/>
        <v/>
      </c>
    </row>
    <row r="15" spans="1:6" x14ac:dyDescent="0.25">
      <c r="A15" s="17"/>
      <c r="B15" s="15" t="str">
        <f>IF(ISBLANK(A15), "", VLOOKUP(A15, Menu!$A$2:$D$18, 2, FALSE))</f>
        <v/>
      </c>
      <c r="C15" s="15" t="str">
        <f>IF(ISBLANK(A15), "", VLOOKUP(A15, Menu!$A$2:$D$18, 3, FALSE))</f>
        <v/>
      </c>
      <c r="D15" s="16" t="str">
        <f>IF(ISBLANK(A15), "", VLOOKUP(A15, Menu!$A$2:$D$18, 4, FALSE))</f>
        <v/>
      </c>
      <c r="E15" s="17"/>
      <c r="F15" s="16" t="str">
        <f t="shared" si="0"/>
        <v/>
      </c>
    </row>
    <row r="16" spans="1:6" x14ac:dyDescent="0.25">
      <c r="A16" s="17"/>
      <c r="B16" s="15" t="str">
        <f>IF(ISBLANK(A16), "", VLOOKUP(A16, Menu!$A$2:$D$18, 2, FALSE))</f>
        <v/>
      </c>
      <c r="C16" s="15" t="str">
        <f>IF(ISBLANK(A16), "", VLOOKUP(A16, Menu!$A$2:$D$18, 3, FALSE))</f>
        <v/>
      </c>
      <c r="D16" s="16" t="str">
        <f>IF(ISBLANK(A16), "", VLOOKUP(A16, Menu!$A$2:$D$18, 4, FALSE))</f>
        <v/>
      </c>
      <c r="E16" s="17"/>
      <c r="F16" s="16" t="str">
        <f t="shared" si="0"/>
        <v/>
      </c>
    </row>
    <row r="17" spans="1:6" x14ac:dyDescent="0.25">
      <c r="A17" s="17"/>
      <c r="B17" s="15" t="str">
        <f>IF(ISBLANK(A17), "", VLOOKUP(A17, Menu!$A$2:$D$18, 2, FALSE))</f>
        <v/>
      </c>
      <c r="C17" s="15" t="str">
        <f>IF(ISBLANK(A17), "", VLOOKUP(A17, Menu!$A$2:$D$18, 3, FALSE))</f>
        <v/>
      </c>
      <c r="D17" s="16" t="str">
        <f>IF(ISBLANK(A17), "", VLOOKUP(A17, Menu!$A$2:$D$18, 4, FALSE))</f>
        <v/>
      </c>
      <c r="E17" s="17"/>
      <c r="F17" s="16" t="str">
        <f t="shared" si="0"/>
        <v/>
      </c>
    </row>
    <row r="18" spans="1:6" x14ac:dyDescent="0.25">
      <c r="A18" s="17"/>
      <c r="B18" s="15" t="str">
        <f>IF(ISBLANK(A18), "", VLOOKUP(A18, Menu!$A$2:$D$18, 2, FALSE))</f>
        <v/>
      </c>
      <c r="C18" s="15" t="str">
        <f>IF(ISBLANK(A18), "", VLOOKUP(A18, Menu!$A$2:$D$18, 3, FALSE))</f>
        <v/>
      </c>
      <c r="D18" s="16" t="str">
        <f>IF(ISBLANK(A18), "", VLOOKUP(A18, Menu!$A$2:$D$18, 4, FALSE))</f>
        <v/>
      </c>
      <c r="E18" s="17"/>
      <c r="F18" s="16" t="str">
        <f t="shared" si="0"/>
        <v/>
      </c>
    </row>
    <row r="19" spans="1:6" x14ac:dyDescent="0.25">
      <c r="A19" s="17"/>
      <c r="B19" s="15" t="str">
        <f>IF(ISBLANK(A19), "", VLOOKUP(A19, Menu!$A$2:$D$18, 2, FALSE))</f>
        <v/>
      </c>
      <c r="C19" s="15" t="str">
        <f>IF(ISBLANK(A19), "", VLOOKUP(A19, Menu!$A$2:$D$18, 3, FALSE))</f>
        <v/>
      </c>
      <c r="D19" s="16" t="str">
        <f>IF(ISBLANK(A19), "", VLOOKUP(A19, Menu!$A$2:$D$18, 4, FALSE))</f>
        <v/>
      </c>
      <c r="E19" s="17"/>
      <c r="F19" s="16" t="str">
        <f t="shared" si="0"/>
        <v/>
      </c>
    </row>
    <row r="20" spans="1:6" x14ac:dyDescent="0.25">
      <c r="A20" s="17"/>
      <c r="B20" s="15" t="str">
        <f>IF(ISBLANK(A20), "", VLOOKUP(A20, Menu!$A$2:$D$18, 2, FALSE))</f>
        <v/>
      </c>
      <c r="C20" s="15" t="str">
        <f>IF(ISBLANK(A20), "", VLOOKUP(A20, Menu!$A$2:$D$18, 3, FALSE))</f>
        <v/>
      </c>
      <c r="D20" s="16" t="str">
        <f>IF(ISBLANK(A20), "", VLOOKUP(A20, Menu!$A$2:$D$18, 4, FALSE))</f>
        <v/>
      </c>
      <c r="E20" s="17"/>
      <c r="F20" s="16" t="str">
        <f t="shared" si="0"/>
        <v/>
      </c>
    </row>
    <row r="21" spans="1:6" x14ac:dyDescent="0.25">
      <c r="A21" s="17"/>
      <c r="B21" s="15" t="str">
        <f>IF(ISBLANK(A21), "", VLOOKUP(A21, Menu!$A$2:$D$18, 2, FALSE))</f>
        <v/>
      </c>
      <c r="C21" s="15" t="str">
        <f>IF(ISBLANK(A21), "", VLOOKUP(A21, Menu!$A$2:$D$18, 3, FALSE))</f>
        <v/>
      </c>
      <c r="D21" s="16" t="str">
        <f>IF(ISBLANK(A21), "", VLOOKUP(A21, Menu!$A$2:$D$18, 4, FALSE))</f>
        <v/>
      </c>
      <c r="E21" s="17"/>
      <c r="F21" s="16" t="str">
        <f t="shared" si="0"/>
        <v/>
      </c>
    </row>
    <row r="22" spans="1:6" x14ac:dyDescent="0.25">
      <c r="A22" s="17"/>
      <c r="B22" s="15" t="str">
        <f>IF(ISBLANK(A22), "", VLOOKUP(A22, Menu!$A$2:$D$18, 2, FALSE))</f>
        <v/>
      </c>
      <c r="C22" s="15" t="str">
        <f>IF(ISBLANK(A22), "", VLOOKUP(A22, Menu!$A$2:$D$18, 3, FALSE))</f>
        <v/>
      </c>
      <c r="D22" s="16" t="str">
        <f>IF(ISBLANK(A22), "", VLOOKUP(A22, Menu!$A$2:$D$18, 4, FALSE))</f>
        <v/>
      </c>
      <c r="E22" s="17"/>
      <c r="F22" s="16" t="str">
        <f t="shared" si="0"/>
        <v/>
      </c>
    </row>
    <row r="23" spans="1:6" x14ac:dyDescent="0.25">
      <c r="A23" s="17"/>
      <c r="B23" s="15" t="str">
        <f>IF(ISBLANK(A23), "", VLOOKUP(A23, Menu!$A$2:$D$18, 2, FALSE))</f>
        <v/>
      </c>
      <c r="C23" s="15" t="str">
        <f>IF(ISBLANK(A23), "", VLOOKUP(A23, Menu!$A$2:$D$18, 3, FALSE))</f>
        <v/>
      </c>
      <c r="D23" s="16" t="str">
        <f>IF(ISBLANK(A23), "", VLOOKUP(A23, Menu!$A$2:$D$18, 4, FALSE))</f>
        <v/>
      </c>
      <c r="E23" s="17"/>
      <c r="F23" s="16" t="str">
        <f t="shared" si="0"/>
        <v/>
      </c>
    </row>
    <row r="24" spans="1:6" x14ac:dyDescent="0.25">
      <c r="A24" s="17"/>
      <c r="B24" s="15" t="str">
        <f>IF(ISBLANK(A24), "", VLOOKUP(A24, Menu!$A$2:$D$18, 2, FALSE))</f>
        <v/>
      </c>
      <c r="C24" s="15" t="str">
        <f>IF(ISBLANK(A24), "", VLOOKUP(A24, Menu!$A$2:$D$18, 3, FALSE))</f>
        <v/>
      </c>
      <c r="D24" s="16" t="str">
        <f>IF(ISBLANK(A24), "", VLOOKUP(A24, Menu!$A$2:$D$18, 4, FALSE))</f>
        <v/>
      </c>
      <c r="E24" s="17"/>
      <c r="F24" s="16" t="str">
        <f t="shared" si="0"/>
        <v/>
      </c>
    </row>
    <row r="25" spans="1:6" x14ac:dyDescent="0.25">
      <c r="A25" s="17"/>
      <c r="B25" s="15" t="str">
        <f>IF(ISBLANK(A25), "", VLOOKUP(A25, Menu!$A$2:$D$18, 2, FALSE))</f>
        <v/>
      </c>
      <c r="C25" s="15" t="str">
        <f>IF(ISBLANK(A25), "", VLOOKUP(A25, Menu!$A$2:$D$18, 3, FALSE))</f>
        <v/>
      </c>
      <c r="D25" s="16" t="str">
        <f>IF(ISBLANK(A25), "", VLOOKUP(A25, Menu!$A$2:$D$18, 4, FALSE))</f>
        <v/>
      </c>
      <c r="E25" s="17"/>
      <c r="F25" s="16" t="str">
        <f t="shared" si="0"/>
        <v/>
      </c>
    </row>
    <row r="26" spans="1:6" x14ac:dyDescent="0.25">
      <c r="A26" s="17"/>
      <c r="B26" s="15" t="str">
        <f>IF(ISBLANK(A26), "", VLOOKUP(A26, Menu!$A$2:$D$18, 2, FALSE))</f>
        <v/>
      </c>
      <c r="C26" s="15" t="str">
        <f>IF(ISBLANK(A26), "", VLOOKUP(A26, Menu!$A$2:$D$18, 3, FALSE))</f>
        <v/>
      </c>
      <c r="D26" s="16" t="str">
        <f>IF(ISBLANK(A26), "", VLOOKUP(A26, Menu!$A$2:$D$18, 4, FALSE))</f>
        <v/>
      </c>
      <c r="E26" s="17"/>
      <c r="F26" s="16" t="str">
        <f t="shared" si="0"/>
        <v/>
      </c>
    </row>
    <row r="27" spans="1:6" x14ac:dyDescent="0.25">
      <c r="A27" s="17"/>
      <c r="B27" s="15" t="str">
        <f>IF(ISBLANK(A27), "", VLOOKUP(A27, Menu!$A$2:$D$18, 2, FALSE))</f>
        <v/>
      </c>
      <c r="C27" s="15" t="str">
        <f>IF(ISBLANK(A27), "", VLOOKUP(A27, Menu!$A$2:$D$18, 3, FALSE))</f>
        <v/>
      </c>
      <c r="D27" s="16" t="str">
        <f>IF(ISBLANK(A27), "", VLOOKUP(A27, Menu!$A$2:$D$18, 4, FALSE))</f>
        <v/>
      </c>
      <c r="E27" s="17"/>
      <c r="F27" s="16" t="str">
        <f t="shared" si="0"/>
        <v/>
      </c>
    </row>
    <row r="28" spans="1:6" x14ac:dyDescent="0.25">
      <c r="A28" s="17"/>
      <c r="B28" s="15" t="str">
        <f>IF(ISBLANK(A28), "", VLOOKUP(A28, Menu!$A$2:$D$18, 2, FALSE))</f>
        <v/>
      </c>
      <c r="C28" s="15" t="str">
        <f>IF(ISBLANK(A28), "", VLOOKUP(A28, Menu!$A$2:$D$18, 3, FALSE))</f>
        <v/>
      </c>
      <c r="D28" s="16" t="str">
        <f>IF(ISBLANK(A28), "", VLOOKUP(A28, Menu!$A$2:$D$18, 4, FALSE))</f>
        <v/>
      </c>
      <c r="E28" s="17"/>
      <c r="F28" s="16" t="str">
        <f t="shared" si="0"/>
        <v/>
      </c>
    </row>
    <row r="29" spans="1:6" x14ac:dyDescent="0.25">
      <c r="A29" s="17"/>
      <c r="B29" s="15" t="str">
        <f>IF(ISBLANK(A29), "", VLOOKUP(A29, Menu!$A$2:$D$18, 2, FALSE))</f>
        <v/>
      </c>
      <c r="C29" s="15" t="str">
        <f>IF(ISBLANK(A29), "", VLOOKUP(A29, Menu!$A$2:$D$18, 3, FALSE))</f>
        <v/>
      </c>
      <c r="D29" s="16" t="str">
        <f>IF(ISBLANK(A29), "", VLOOKUP(A29, Menu!$A$2:$D$18, 4, FALSE))</f>
        <v/>
      </c>
      <c r="E29" s="17"/>
      <c r="F29" s="16" t="str">
        <f t="shared" si="0"/>
        <v/>
      </c>
    </row>
    <row r="30" spans="1:6" x14ac:dyDescent="0.25">
      <c r="A30" s="17"/>
      <c r="B30" s="15" t="str">
        <f>IF(ISBLANK(A30), "", VLOOKUP(A30, Menu!$A$2:$D$18, 2, FALSE))</f>
        <v/>
      </c>
      <c r="C30" s="15" t="str">
        <f>IF(ISBLANK(A30), "", VLOOKUP(A30, Menu!$A$2:$D$18, 3, FALSE))</f>
        <v/>
      </c>
      <c r="D30" s="16" t="str">
        <f>IF(ISBLANK(A30), "", VLOOKUP(A30, Menu!$A$2:$D$18, 4, FALSE))</f>
        <v/>
      </c>
      <c r="E30" s="17"/>
      <c r="F30" s="16" t="str">
        <f t="shared" si="0"/>
        <v/>
      </c>
    </row>
    <row r="31" spans="1:6" x14ac:dyDescent="0.25">
      <c r="A31" s="17"/>
      <c r="B31" s="15" t="str">
        <f>IF(ISBLANK(A31), "", VLOOKUP(A31, Menu!$A$2:$D$18, 2, FALSE))</f>
        <v/>
      </c>
      <c r="C31" s="15" t="str">
        <f>IF(ISBLANK(A31), "", VLOOKUP(A31, Menu!$A$2:$D$18, 3, FALSE))</f>
        <v/>
      </c>
      <c r="D31" s="16" t="str">
        <f>IF(ISBLANK(A31), "", VLOOKUP(A31, Menu!$A$2:$D$18, 4, FALSE))</f>
        <v/>
      </c>
      <c r="E31" s="17"/>
      <c r="F31" s="16" t="str">
        <f t="shared" si="0"/>
        <v/>
      </c>
    </row>
    <row r="32" spans="1:6" x14ac:dyDescent="0.25">
      <c r="A32" s="17"/>
      <c r="B32" s="15" t="str">
        <f>IF(ISBLANK(A32), "", VLOOKUP(A32, Menu!$A$2:$D$18, 2, FALSE))</f>
        <v/>
      </c>
      <c r="C32" s="15" t="str">
        <f>IF(ISBLANK(A32), "", VLOOKUP(A32, Menu!$A$2:$D$18, 3, FALSE))</f>
        <v/>
      </c>
      <c r="D32" s="16" t="str">
        <f>IF(ISBLANK(A32), "", VLOOKUP(A32, Menu!$A$2:$D$18, 4, FALSE))</f>
        <v/>
      </c>
      <c r="E32" s="17"/>
      <c r="F32" s="16" t="str">
        <f t="shared" si="0"/>
        <v/>
      </c>
    </row>
    <row r="33" spans="1:6" x14ac:dyDescent="0.25">
      <c r="A33" s="17"/>
      <c r="B33" s="15" t="str">
        <f>IF(ISBLANK(A33), "", VLOOKUP(A33, Menu!$A$2:$D$18, 2, FALSE))</f>
        <v/>
      </c>
      <c r="C33" s="15" t="str">
        <f>IF(ISBLANK(A33), "", VLOOKUP(A33, Menu!$A$2:$D$18, 3, FALSE))</f>
        <v/>
      </c>
      <c r="D33" s="16" t="str">
        <f>IF(ISBLANK(A33), "", VLOOKUP(A33, Menu!$A$2:$D$18, 4, FALSE))</f>
        <v/>
      </c>
      <c r="E33" s="17"/>
      <c r="F33" s="16" t="str">
        <f t="shared" si="0"/>
        <v/>
      </c>
    </row>
    <row r="34" spans="1:6" x14ac:dyDescent="0.25">
      <c r="A34" s="17"/>
      <c r="B34" s="15" t="str">
        <f>IF(ISBLANK(A34), "", VLOOKUP(A34, Menu!$A$2:$D$18, 2, FALSE))</f>
        <v/>
      </c>
      <c r="C34" s="15" t="str">
        <f>IF(ISBLANK(A34), "", VLOOKUP(A34, Menu!$A$2:$D$18, 3, FALSE))</f>
        <v/>
      </c>
      <c r="D34" s="16" t="str">
        <f>IF(ISBLANK(A34), "", VLOOKUP(A34, Menu!$A$2:$D$18, 4, FALSE))</f>
        <v/>
      </c>
      <c r="E34" s="17"/>
      <c r="F34" s="16" t="str">
        <f t="shared" si="0"/>
        <v/>
      </c>
    </row>
    <row r="35" spans="1:6" x14ac:dyDescent="0.25">
      <c r="A35" s="17"/>
      <c r="B35" s="15" t="str">
        <f>IF(ISBLANK(A35), "", VLOOKUP(A35, Menu!$A$2:$D$18, 2, FALSE))</f>
        <v/>
      </c>
      <c r="C35" s="15" t="str">
        <f>IF(ISBLANK(A35), "", VLOOKUP(A35, Menu!$A$2:$D$18, 3, FALSE))</f>
        <v/>
      </c>
      <c r="D35" s="16" t="str">
        <f>IF(ISBLANK(A35), "", VLOOKUP(A35, Menu!$A$2:$D$18, 4, FALSE))</f>
        <v/>
      </c>
      <c r="E35" s="17"/>
      <c r="F35" s="16" t="str">
        <f t="shared" si="0"/>
        <v/>
      </c>
    </row>
    <row r="36" spans="1:6" x14ac:dyDescent="0.25">
      <c r="A36" s="17"/>
      <c r="B36" s="15" t="str">
        <f>IF(ISBLANK(A36), "", VLOOKUP(A36, Menu!$A$2:$D$18, 2, FALSE))</f>
        <v/>
      </c>
      <c r="C36" s="15" t="str">
        <f>IF(ISBLANK(A36), "", VLOOKUP(A36, Menu!$A$2:$D$18, 3, FALSE))</f>
        <v/>
      </c>
      <c r="D36" s="16" t="str">
        <f>IF(ISBLANK(A36), "", VLOOKUP(A36, Menu!$A$2:$D$18, 4, FALSE))</f>
        <v/>
      </c>
      <c r="E36" s="17"/>
      <c r="F36" s="16" t="str">
        <f t="shared" si="0"/>
        <v/>
      </c>
    </row>
    <row r="37" spans="1:6" x14ac:dyDescent="0.25">
      <c r="A37" s="17"/>
      <c r="B37" s="15" t="str">
        <f>IF(ISBLANK(A37), "", VLOOKUP(A37, Menu!$A$2:$D$18, 2, FALSE))</f>
        <v/>
      </c>
      <c r="C37" s="15" t="str">
        <f>IF(ISBLANK(A37), "", VLOOKUP(A37, Menu!$A$2:$D$18, 3, FALSE))</f>
        <v/>
      </c>
      <c r="D37" s="16" t="str">
        <f>IF(ISBLANK(A37), "", VLOOKUP(A37, Menu!$A$2:$D$18, 4, FALSE))</f>
        <v/>
      </c>
      <c r="E37" s="17"/>
      <c r="F37" s="16" t="str">
        <f t="shared" si="0"/>
        <v/>
      </c>
    </row>
    <row r="38" spans="1:6" x14ac:dyDescent="0.25">
      <c r="A38" s="17"/>
      <c r="B38" s="15" t="str">
        <f>IF(ISBLANK(A38), "", VLOOKUP(A38, Menu!$A$2:$D$18, 2, FALSE))</f>
        <v/>
      </c>
      <c r="C38" s="15" t="str">
        <f>IF(ISBLANK(A38), "", VLOOKUP(A38, Menu!$A$2:$D$18, 3, FALSE))</f>
        <v/>
      </c>
      <c r="D38" s="16" t="str">
        <f>IF(ISBLANK(A38), "", VLOOKUP(A38, Menu!$A$2:$D$18, 4, FALSE))</f>
        <v/>
      </c>
      <c r="E38" s="17"/>
      <c r="F38" s="16" t="str">
        <f t="shared" si="0"/>
        <v/>
      </c>
    </row>
    <row r="39" spans="1:6" x14ac:dyDescent="0.25">
      <c r="A39" s="17"/>
      <c r="B39" s="15" t="str">
        <f>IF(ISBLANK(A39), "", VLOOKUP(A39, Menu!$A$2:$D$18, 2, FALSE))</f>
        <v/>
      </c>
      <c r="C39" s="15" t="str">
        <f>IF(ISBLANK(A39), "", VLOOKUP(A39, Menu!$A$2:$D$18, 3, FALSE))</f>
        <v/>
      </c>
      <c r="D39" s="16" t="str">
        <f>IF(ISBLANK(A39), "", VLOOKUP(A39, Menu!$A$2:$D$18, 4, FALSE))</f>
        <v/>
      </c>
      <c r="E39" s="17"/>
      <c r="F39" s="16" t="str">
        <f t="shared" si="0"/>
        <v/>
      </c>
    </row>
    <row r="40" spans="1:6" x14ac:dyDescent="0.25">
      <c r="A40" s="17"/>
      <c r="B40" s="15" t="str">
        <f>IF(ISBLANK(A40), "", VLOOKUP(A40, Menu!$A$2:$D$18, 2, FALSE))</f>
        <v/>
      </c>
      <c r="C40" s="15" t="str">
        <f>IF(ISBLANK(A40), "", VLOOKUP(A40, Menu!$A$2:$D$18, 3, FALSE))</f>
        <v/>
      </c>
      <c r="D40" s="16" t="str">
        <f>IF(ISBLANK(A40), "", VLOOKUP(A40, Menu!$A$2:$D$18, 4, FALSE))</f>
        <v/>
      </c>
      <c r="E40" s="17"/>
      <c r="F40" s="16" t="str">
        <f t="shared" si="0"/>
        <v/>
      </c>
    </row>
    <row r="41" spans="1:6" x14ac:dyDescent="0.25">
      <c r="A41" s="17"/>
      <c r="B41" s="15" t="str">
        <f>IF(ISBLANK(A41), "", VLOOKUP(A41, Menu!$A$2:$D$18, 2, FALSE))</f>
        <v/>
      </c>
      <c r="C41" s="15" t="str">
        <f>IF(ISBLANK(A41), "", VLOOKUP(A41, Menu!$A$2:$D$18, 3, FALSE))</f>
        <v/>
      </c>
      <c r="D41" s="16" t="str">
        <f>IF(ISBLANK(A41), "", VLOOKUP(A41, Menu!$A$2:$D$18, 4, FALSE))</f>
        <v/>
      </c>
      <c r="E41" s="17"/>
      <c r="F41" s="16" t="str">
        <f t="shared" si="0"/>
        <v/>
      </c>
    </row>
    <row r="42" spans="1:6" x14ac:dyDescent="0.25">
      <c r="A42" s="17"/>
      <c r="B42" s="15" t="str">
        <f>IF(ISBLANK(A42), "", VLOOKUP(A42, Menu!$A$2:$D$18, 2, FALSE))</f>
        <v/>
      </c>
      <c r="C42" s="15" t="str">
        <f>IF(ISBLANK(A42), "", VLOOKUP(A42, Menu!$A$2:$D$18, 3, FALSE))</f>
        <v/>
      </c>
      <c r="D42" s="16" t="str">
        <f>IF(ISBLANK(A42), "", VLOOKUP(A42, Menu!$A$2:$D$18, 4, FALSE))</f>
        <v/>
      </c>
      <c r="E42" s="17"/>
      <c r="F42" s="16" t="str">
        <f t="shared" si="0"/>
        <v/>
      </c>
    </row>
    <row r="43" spans="1:6" x14ac:dyDescent="0.25">
      <c r="A43" s="17"/>
      <c r="B43" s="15" t="str">
        <f>IF(ISBLANK(A43), "", VLOOKUP(A43, Menu!$A$2:$D$18, 2, FALSE))</f>
        <v/>
      </c>
      <c r="C43" s="15" t="str">
        <f>IF(ISBLANK(A43), "", VLOOKUP(A43, Menu!$A$2:$D$18, 3, FALSE))</f>
        <v/>
      </c>
      <c r="D43" s="16" t="str">
        <f>IF(ISBLANK(A43), "", VLOOKUP(A43, Menu!$A$2:$D$18, 4, FALSE))</f>
        <v/>
      </c>
      <c r="E43" s="17"/>
      <c r="F43" s="16" t="str">
        <f t="shared" si="0"/>
        <v/>
      </c>
    </row>
    <row r="44" spans="1:6" x14ac:dyDescent="0.25">
      <c r="A44" s="17"/>
      <c r="B44" s="15" t="str">
        <f>IF(ISBLANK(A44), "", VLOOKUP(A44, Menu!$A$2:$D$18, 2, FALSE))</f>
        <v/>
      </c>
      <c r="C44" s="15" t="str">
        <f>IF(ISBLANK(A44), "", VLOOKUP(A44, Menu!$A$2:$D$18, 3, FALSE))</f>
        <v/>
      </c>
      <c r="D44" s="16" t="str">
        <f>IF(ISBLANK(A44), "", VLOOKUP(A44, Menu!$A$2:$D$18, 4, FALSE))</f>
        <v/>
      </c>
      <c r="E44" s="17"/>
      <c r="F44" s="16" t="str">
        <f t="shared" si="0"/>
        <v/>
      </c>
    </row>
    <row r="45" spans="1:6" x14ac:dyDescent="0.25">
      <c r="A45" s="17"/>
      <c r="B45" s="15" t="str">
        <f>IF(ISBLANK(A45), "", VLOOKUP(A45, Menu!$A$2:$D$18, 2, FALSE))</f>
        <v/>
      </c>
      <c r="C45" s="15" t="str">
        <f>IF(ISBLANK(A45), "", VLOOKUP(A45, Menu!$A$2:$D$18, 3, FALSE))</f>
        <v/>
      </c>
      <c r="D45" s="16" t="str">
        <f>IF(ISBLANK(A45), "", VLOOKUP(A45, Menu!$A$2:$D$18, 4, FALSE))</f>
        <v/>
      </c>
      <c r="E45" s="17"/>
      <c r="F45" s="16" t="str">
        <f t="shared" si="0"/>
        <v/>
      </c>
    </row>
    <row r="46" spans="1:6" x14ac:dyDescent="0.25">
      <c r="A46" s="17"/>
      <c r="B46" s="15" t="str">
        <f>IF(ISBLANK(A46), "", VLOOKUP(A46, Menu!$A$2:$D$18, 2, FALSE))</f>
        <v/>
      </c>
      <c r="C46" s="15" t="str">
        <f>IF(ISBLANK(A46), "", VLOOKUP(A46, Menu!$A$2:$D$18, 3, FALSE))</f>
        <v/>
      </c>
      <c r="D46" s="16" t="str">
        <f>IF(ISBLANK(A46), "", VLOOKUP(A46, Menu!$A$2:$D$18, 4, FALSE))</f>
        <v/>
      </c>
      <c r="E46" s="17"/>
      <c r="F46" s="16" t="str">
        <f t="shared" si="0"/>
        <v/>
      </c>
    </row>
    <row r="47" spans="1:6" x14ac:dyDescent="0.25">
      <c r="A47" s="17"/>
      <c r="B47" s="15" t="str">
        <f>IF(ISBLANK(A47), "", VLOOKUP(A47, Menu!$A$2:$D$18, 2, FALSE))</f>
        <v/>
      </c>
      <c r="C47" s="15" t="str">
        <f>IF(ISBLANK(A47), "", VLOOKUP(A47, Menu!$A$2:$D$18, 3, FALSE))</f>
        <v/>
      </c>
      <c r="D47" s="16" t="str">
        <f>IF(ISBLANK(A47), "", VLOOKUP(A47, Menu!$A$2:$D$18, 4, FALSE))</f>
        <v/>
      </c>
      <c r="E47" s="17"/>
      <c r="F47" s="16" t="str">
        <f t="shared" si="0"/>
        <v/>
      </c>
    </row>
    <row r="48" spans="1:6" x14ac:dyDescent="0.25">
      <c r="A48" s="17"/>
      <c r="B48" s="15" t="str">
        <f>IF(ISBLANK(A48), "", VLOOKUP(A48, Menu!$A$2:$D$18, 2, FALSE))</f>
        <v/>
      </c>
      <c r="C48" s="15" t="str">
        <f>IF(ISBLANK(A48), "", VLOOKUP(A48, Menu!$A$2:$D$18, 3, FALSE))</f>
        <v/>
      </c>
      <c r="D48" s="16" t="str">
        <f>IF(ISBLANK(A48), "", VLOOKUP(A48, Menu!$A$2:$D$18, 4, FALSE))</f>
        <v/>
      </c>
      <c r="E48" s="17"/>
      <c r="F48" s="16" t="str">
        <f t="shared" si="0"/>
        <v/>
      </c>
    </row>
    <row r="49" spans="1:6" x14ac:dyDescent="0.25">
      <c r="A49" s="17"/>
      <c r="B49" s="15" t="str">
        <f>IF(ISBLANK(A49), "", VLOOKUP(A49, Menu!$A$2:$D$18, 2, FALSE))</f>
        <v/>
      </c>
      <c r="C49" s="15" t="str">
        <f>IF(ISBLANK(A49), "", VLOOKUP(A49, Menu!$A$2:$D$18, 3, FALSE))</f>
        <v/>
      </c>
      <c r="D49" s="16" t="str">
        <f>IF(ISBLANK(A49), "", VLOOKUP(A49, Menu!$A$2:$D$18, 4, FALSE))</f>
        <v/>
      </c>
      <c r="E49" s="17"/>
      <c r="F49" s="16" t="str">
        <f t="shared" si="0"/>
        <v/>
      </c>
    </row>
    <row r="50" spans="1:6" x14ac:dyDescent="0.25">
      <c r="A50" s="17"/>
      <c r="B50" s="15" t="str">
        <f>IF(ISBLANK(A50), "", VLOOKUP(A50, Menu!$A$2:$D$18, 2, FALSE))</f>
        <v/>
      </c>
      <c r="C50" s="15" t="str">
        <f>IF(ISBLANK(A50), "", VLOOKUP(A50, Menu!$A$2:$D$18, 3, FALSE))</f>
        <v/>
      </c>
      <c r="D50" s="16" t="str">
        <f>IF(ISBLANK(A50), "", VLOOKUP(A50, Menu!$A$2:$D$18, 4, FALSE))</f>
        <v/>
      </c>
      <c r="E50" s="17"/>
      <c r="F50" s="16" t="str">
        <f t="shared" si="0"/>
        <v/>
      </c>
    </row>
    <row r="51" spans="1:6" x14ac:dyDescent="0.25">
      <c r="A51" s="17"/>
      <c r="B51" s="15" t="str">
        <f>IF(ISBLANK(A51), "", VLOOKUP(A51, Menu!$A$2:$D$18, 2, FALSE))</f>
        <v/>
      </c>
      <c r="C51" s="15" t="str">
        <f>IF(ISBLANK(A51), "", VLOOKUP(A51, Menu!$A$2:$D$18, 3, FALSE))</f>
        <v/>
      </c>
      <c r="D51" s="16" t="str">
        <f>IF(ISBLANK(A51), "", VLOOKUP(A51, Menu!$A$2:$D$18, 4, FALSE))</f>
        <v/>
      </c>
      <c r="E51" s="17"/>
      <c r="F51" s="16" t="str">
        <f t="shared" si="0"/>
        <v/>
      </c>
    </row>
    <row r="52" spans="1:6" x14ac:dyDescent="0.25">
      <c r="A52" s="17"/>
      <c r="B52" s="15" t="str">
        <f>IF(ISBLANK(A52), "", VLOOKUP(A52, Menu!$A$2:$D$18, 2, FALSE))</f>
        <v/>
      </c>
      <c r="C52" s="15" t="str">
        <f>IF(ISBLANK(A52), "", VLOOKUP(A52, Menu!$A$2:$D$18, 3, FALSE))</f>
        <v/>
      </c>
      <c r="D52" s="16" t="str">
        <f>IF(ISBLANK(A52), "", VLOOKUP(A52, Menu!$A$2:$D$18, 4, FALSE))</f>
        <v/>
      </c>
      <c r="E52" s="17"/>
      <c r="F52" s="16" t="str">
        <f t="shared" si="0"/>
        <v/>
      </c>
    </row>
    <row r="53" spans="1:6" x14ac:dyDescent="0.25">
      <c r="A53" s="17"/>
      <c r="B53" s="15" t="str">
        <f>IF(ISBLANK(A53), "", VLOOKUP(A53, Menu!$A$2:$D$18, 2, FALSE))</f>
        <v/>
      </c>
      <c r="C53" s="15" t="str">
        <f>IF(ISBLANK(A53), "", VLOOKUP(A53, Menu!$A$2:$D$18, 3, FALSE))</f>
        <v/>
      </c>
      <c r="D53" s="16" t="str">
        <f>IF(ISBLANK(A53), "", VLOOKUP(A53, Menu!$A$2:$D$18, 4, FALSE))</f>
        <v/>
      </c>
      <c r="E53" s="17"/>
      <c r="F53" s="16" t="str">
        <f t="shared" si="0"/>
        <v/>
      </c>
    </row>
    <row r="54" spans="1:6" x14ac:dyDescent="0.25">
      <c r="A54" s="17"/>
      <c r="B54" s="15" t="str">
        <f>IF(ISBLANK(A54), "", VLOOKUP(A54, Menu!$A$2:$D$18, 2, FALSE))</f>
        <v/>
      </c>
      <c r="C54" s="15" t="str">
        <f>IF(ISBLANK(A54), "", VLOOKUP(A54, Menu!$A$2:$D$18, 3, FALSE))</f>
        <v/>
      </c>
      <c r="D54" s="16" t="str">
        <f>IF(ISBLANK(A54), "", VLOOKUP(A54, Menu!$A$2:$D$18, 4, FALSE))</f>
        <v/>
      </c>
      <c r="E54" s="17"/>
      <c r="F54" s="16" t="str">
        <f t="shared" si="0"/>
        <v/>
      </c>
    </row>
    <row r="55" spans="1:6" x14ac:dyDescent="0.25">
      <c r="A55" s="17"/>
      <c r="B55" s="15" t="str">
        <f>IF(ISBLANK(A55), "", VLOOKUP(A55, Menu!$A$2:$D$18, 2, FALSE))</f>
        <v/>
      </c>
      <c r="C55" s="15" t="str">
        <f>IF(ISBLANK(A55), "", VLOOKUP(A55, Menu!$A$2:$D$18, 3, FALSE))</f>
        <v/>
      </c>
      <c r="D55" s="16" t="str">
        <f>IF(ISBLANK(A55), "", VLOOKUP(A55, Menu!$A$2:$D$18, 4, FALSE))</f>
        <v/>
      </c>
      <c r="E55" s="17"/>
      <c r="F55" s="16" t="str">
        <f t="shared" si="0"/>
        <v/>
      </c>
    </row>
    <row r="56" spans="1:6" x14ac:dyDescent="0.25">
      <c r="A56" s="17"/>
      <c r="B56" s="15" t="str">
        <f>IF(ISBLANK(A56), "", VLOOKUP(A56, Menu!$A$2:$D$18, 2, FALSE))</f>
        <v/>
      </c>
      <c r="C56" s="15" t="str">
        <f>IF(ISBLANK(A56), "", VLOOKUP(A56, Menu!$A$2:$D$18, 3, FALSE))</f>
        <v/>
      </c>
      <c r="D56" s="16" t="str">
        <f>IF(ISBLANK(A56), "", VLOOKUP(A56, Menu!$A$2:$D$18, 4, FALSE))</f>
        <v/>
      </c>
      <c r="E56" s="17"/>
      <c r="F56" s="16" t="str">
        <f t="shared" si="0"/>
        <v/>
      </c>
    </row>
    <row r="57" spans="1:6" x14ac:dyDescent="0.25">
      <c r="A57" s="17"/>
      <c r="B57" s="15" t="str">
        <f>IF(ISBLANK(A57), "", VLOOKUP(A57, Menu!$A$2:$D$18, 2, FALSE))</f>
        <v/>
      </c>
      <c r="C57" s="15" t="str">
        <f>IF(ISBLANK(A57), "", VLOOKUP(A57, Menu!$A$2:$D$18, 3, FALSE))</f>
        <v/>
      </c>
      <c r="D57" s="16" t="str">
        <f>IF(ISBLANK(A57), "", VLOOKUP(A57, Menu!$A$2:$D$18, 4, FALSE))</f>
        <v/>
      </c>
      <c r="E57" s="17"/>
      <c r="F57" s="16" t="str">
        <f t="shared" si="0"/>
        <v/>
      </c>
    </row>
    <row r="58" spans="1:6" x14ac:dyDescent="0.25">
      <c r="A58" s="17"/>
      <c r="B58" s="15" t="str">
        <f>IF(ISBLANK(A58), "", VLOOKUP(A58, Menu!$A$2:$D$18, 2, FALSE))</f>
        <v/>
      </c>
      <c r="C58" s="15" t="str">
        <f>IF(ISBLANK(A58), "", VLOOKUP(A58, Menu!$A$2:$D$18, 3, FALSE))</f>
        <v/>
      </c>
      <c r="D58" s="16" t="str">
        <f>IF(ISBLANK(A58), "", VLOOKUP(A58, Menu!$A$2:$D$18, 4, FALSE))</f>
        <v/>
      </c>
      <c r="E58" s="17"/>
      <c r="F58" s="16" t="str">
        <f t="shared" si="0"/>
        <v/>
      </c>
    </row>
    <row r="59" spans="1:6" x14ac:dyDescent="0.25">
      <c r="A59" s="17"/>
      <c r="B59" s="15" t="str">
        <f>IF(ISBLANK(A59), "", VLOOKUP(A59, Menu!$A$2:$D$18, 2, FALSE))</f>
        <v/>
      </c>
      <c r="C59" s="15" t="str">
        <f>IF(ISBLANK(A59), "", VLOOKUP(A59, Menu!$A$2:$D$18, 3, FALSE))</f>
        <v/>
      </c>
      <c r="D59" s="16" t="str">
        <f>IF(ISBLANK(A59), "", VLOOKUP(A59, Menu!$A$2:$D$18, 4, FALSE))</f>
        <v/>
      </c>
      <c r="E59" s="17"/>
      <c r="F59" s="16" t="str">
        <f t="shared" si="0"/>
        <v/>
      </c>
    </row>
    <row r="60" spans="1:6" x14ac:dyDescent="0.25">
      <c r="A60" s="17"/>
      <c r="B60" s="15" t="str">
        <f>IF(ISBLANK(A60), "", VLOOKUP(A60, Menu!$A$2:$D$18, 2, FALSE))</f>
        <v/>
      </c>
      <c r="C60" s="15" t="str">
        <f>IF(ISBLANK(A60), "", VLOOKUP(A60, Menu!$A$2:$D$18, 3, FALSE))</f>
        <v/>
      </c>
      <c r="D60" s="16" t="str">
        <f>IF(ISBLANK(A60), "", VLOOKUP(A60, Menu!$A$2:$D$18, 4, FALSE))</f>
        <v/>
      </c>
      <c r="E60" s="17"/>
      <c r="F60" s="16" t="str">
        <f t="shared" si="0"/>
        <v/>
      </c>
    </row>
    <row r="61" spans="1:6" x14ac:dyDescent="0.25">
      <c r="A61" s="17"/>
      <c r="B61" s="15" t="str">
        <f>IF(ISBLANK(A61), "", VLOOKUP(A61, Menu!$A$2:$D$18, 2, FALSE))</f>
        <v/>
      </c>
      <c r="C61" s="15" t="str">
        <f>IF(ISBLANK(A61), "", VLOOKUP(A61, Menu!$A$2:$D$18, 3, FALSE))</f>
        <v/>
      </c>
      <c r="D61" s="16" t="str">
        <f>IF(ISBLANK(A61), "", VLOOKUP(A61, Menu!$A$2:$D$18, 4, FALSE))</f>
        <v/>
      </c>
      <c r="E61" s="17"/>
      <c r="F61" s="16" t="str">
        <f t="shared" si="0"/>
        <v/>
      </c>
    </row>
    <row r="62" spans="1:6" x14ac:dyDescent="0.25">
      <c r="A62" s="17"/>
      <c r="B62" s="15" t="str">
        <f>IF(ISBLANK(A62), "", VLOOKUP(A62, Menu!$A$2:$D$18, 2, FALSE))</f>
        <v/>
      </c>
      <c r="C62" s="15" t="str">
        <f>IF(ISBLANK(A62), "", VLOOKUP(A62, Menu!$A$2:$D$18, 3, FALSE))</f>
        <v/>
      </c>
      <c r="D62" s="16" t="str">
        <f>IF(ISBLANK(A62), "", VLOOKUP(A62, Menu!$A$2:$D$18, 4, FALSE))</f>
        <v/>
      </c>
      <c r="E62" s="17"/>
      <c r="F62" s="16" t="str">
        <f t="shared" si="0"/>
        <v/>
      </c>
    </row>
    <row r="63" spans="1:6" x14ac:dyDescent="0.25">
      <c r="A63" s="17"/>
      <c r="B63" s="15" t="str">
        <f>IF(ISBLANK(A63), "", VLOOKUP(A63, Menu!$A$2:$D$18, 2, FALSE))</f>
        <v/>
      </c>
      <c r="C63" s="15" t="str">
        <f>IF(ISBLANK(A63), "", VLOOKUP(A63, Menu!$A$2:$D$18, 3, FALSE))</f>
        <v/>
      </c>
      <c r="D63" s="16" t="str">
        <f>IF(ISBLANK(A63), "", VLOOKUP(A63, Menu!$A$2:$D$18, 4, FALSE))</f>
        <v/>
      </c>
      <c r="E63" s="17"/>
      <c r="F63" s="16" t="str">
        <f t="shared" si="0"/>
        <v/>
      </c>
    </row>
    <row r="64" spans="1:6" x14ac:dyDescent="0.25">
      <c r="A64" s="17"/>
      <c r="B64" s="15" t="str">
        <f>IF(ISBLANK(A64), "", VLOOKUP(A64, Menu!$A$2:$D$18, 2, FALSE))</f>
        <v/>
      </c>
      <c r="C64" s="15" t="str">
        <f>IF(ISBLANK(A64), "", VLOOKUP(A64, Menu!$A$2:$D$18, 3, FALSE))</f>
        <v/>
      </c>
      <c r="D64" s="16" t="str">
        <f>IF(ISBLANK(A64), "", VLOOKUP(A64, Menu!$A$2:$D$18, 4, FALSE))</f>
        <v/>
      </c>
      <c r="E64" s="17"/>
      <c r="F64" s="16" t="str">
        <f t="shared" si="0"/>
        <v/>
      </c>
    </row>
    <row r="65" spans="1:6" x14ac:dyDescent="0.25">
      <c r="A65" s="17"/>
      <c r="B65" s="15" t="str">
        <f>IF(ISBLANK(A65), "", VLOOKUP(A65, Menu!$A$2:$D$18, 2, FALSE))</f>
        <v/>
      </c>
      <c r="C65" s="15" t="str">
        <f>IF(ISBLANK(A65), "", VLOOKUP(A65, Menu!$A$2:$D$18, 3, FALSE))</f>
        <v/>
      </c>
      <c r="D65" s="16" t="str">
        <f>IF(ISBLANK(A65), "", VLOOKUP(A65, Menu!$A$2:$D$18, 4, FALSE))</f>
        <v/>
      </c>
      <c r="E65" s="17"/>
      <c r="F65" s="16" t="str">
        <f t="shared" si="0"/>
        <v/>
      </c>
    </row>
    <row r="66" spans="1:6" x14ac:dyDescent="0.25">
      <c r="A66" s="17"/>
      <c r="B66" s="15" t="str">
        <f>IF(ISBLANK(A66), "", VLOOKUP(A66, Menu!$A$2:$D$18, 2, FALSE))</f>
        <v/>
      </c>
      <c r="C66" s="15" t="str">
        <f>IF(ISBLANK(A66), "", VLOOKUP(A66, Menu!$A$2:$D$18, 3, FALSE))</f>
        <v/>
      </c>
      <c r="D66" s="16" t="str">
        <f>IF(ISBLANK(A66), "", VLOOKUP(A66, Menu!$A$2:$D$18, 4, FALSE))</f>
        <v/>
      </c>
      <c r="E66" s="17"/>
      <c r="F66" s="16" t="str">
        <f t="shared" si="0"/>
        <v/>
      </c>
    </row>
    <row r="67" spans="1:6" x14ac:dyDescent="0.25">
      <c r="A67" s="17"/>
      <c r="B67" s="15" t="str">
        <f>IF(ISBLANK(A67), "", VLOOKUP(A67, Menu!$A$2:$D$18, 2, FALSE))</f>
        <v/>
      </c>
      <c r="C67" s="15" t="str">
        <f>IF(ISBLANK(A67), "", VLOOKUP(A67, Menu!$A$2:$D$18, 3, FALSE))</f>
        <v/>
      </c>
      <c r="D67" s="16" t="str">
        <f>IF(ISBLANK(A67), "", VLOOKUP(A67, Menu!$A$2:$D$18, 4, FALSE))</f>
        <v/>
      </c>
      <c r="E67" s="17"/>
      <c r="F67" s="16" t="str">
        <f t="shared" si="0"/>
        <v/>
      </c>
    </row>
    <row r="68" spans="1:6" x14ac:dyDescent="0.25">
      <c r="A68" s="17"/>
      <c r="B68" s="15" t="str">
        <f>IF(ISBLANK(A68), "", VLOOKUP(A68, Menu!$A$2:$D$18, 2, FALSE))</f>
        <v/>
      </c>
      <c r="C68" s="15" t="str">
        <f>IF(ISBLANK(A68), "", VLOOKUP(A68, Menu!$A$2:$D$18, 3, FALSE))</f>
        <v/>
      </c>
      <c r="D68" s="16" t="str">
        <f>IF(ISBLANK(A68), "", VLOOKUP(A68, Menu!$A$2:$D$18, 4, FALSE))</f>
        <v/>
      </c>
      <c r="E68" s="17"/>
      <c r="F68" s="16" t="str">
        <f t="shared" si="0"/>
        <v/>
      </c>
    </row>
    <row r="69" spans="1:6" x14ac:dyDescent="0.25">
      <c r="A69" s="17"/>
      <c r="B69" s="15" t="str">
        <f>IF(ISBLANK(A69), "", VLOOKUP(A69, Menu!$A$2:$D$18, 2, FALSE))</f>
        <v/>
      </c>
      <c r="C69" s="15" t="str">
        <f>IF(ISBLANK(A69), "", VLOOKUP(A69, Menu!$A$2:$D$18, 3, FALSE))</f>
        <v/>
      </c>
      <c r="D69" s="16" t="str">
        <f>IF(ISBLANK(A69), "", VLOOKUP(A69, Menu!$A$2:$D$18, 4, FALSE))</f>
        <v/>
      </c>
      <c r="E69" s="17"/>
      <c r="F69" s="16" t="str">
        <f t="shared" si="0"/>
        <v/>
      </c>
    </row>
    <row r="70" spans="1:6" x14ac:dyDescent="0.25">
      <c r="A70" s="17"/>
      <c r="B70" s="15" t="str">
        <f>IF(ISBLANK(A70), "", VLOOKUP(A70, Menu!$A$2:$D$18, 2, FALSE))</f>
        <v/>
      </c>
      <c r="C70" s="15" t="str">
        <f>IF(ISBLANK(A70), "", VLOOKUP(A70, Menu!$A$2:$D$18, 3, FALSE))</f>
        <v/>
      </c>
      <c r="D70" s="16" t="str">
        <f>IF(ISBLANK(A70), "", VLOOKUP(A70, Menu!$A$2:$D$18, 4, FALSE))</f>
        <v/>
      </c>
      <c r="E70" s="17"/>
      <c r="F70" s="16" t="str">
        <f t="shared" si="0"/>
        <v/>
      </c>
    </row>
    <row r="71" spans="1:6" x14ac:dyDescent="0.25">
      <c r="A71" s="17"/>
      <c r="B71" s="15" t="str">
        <f>IF(ISBLANK(A71), "", VLOOKUP(A71, Menu!$A$2:$D$18, 2, FALSE))</f>
        <v/>
      </c>
      <c r="C71" s="15" t="str">
        <f>IF(ISBLANK(A71), "", VLOOKUP(A71, Menu!$A$2:$D$18, 3, FALSE))</f>
        <v/>
      </c>
      <c r="D71" s="16" t="str">
        <f>IF(ISBLANK(A71), "", VLOOKUP(A71, Menu!$A$2:$D$18, 4, FALSE))</f>
        <v/>
      </c>
      <c r="E71" s="17"/>
      <c r="F71" s="16" t="str">
        <f t="shared" si="0"/>
        <v/>
      </c>
    </row>
    <row r="72" spans="1:6" x14ac:dyDescent="0.25">
      <c r="A72" s="17"/>
      <c r="B72" s="15" t="str">
        <f>IF(ISBLANK(A72), "", VLOOKUP(A72, Menu!$A$2:$D$18, 2, FALSE))</f>
        <v/>
      </c>
      <c r="C72" s="15" t="str">
        <f>IF(ISBLANK(A72), "", VLOOKUP(A72, Menu!$A$2:$D$18, 3, FALSE))</f>
        <v/>
      </c>
      <c r="D72" s="16" t="str">
        <f>IF(ISBLANK(A72), "", VLOOKUP(A72, Menu!$A$2:$D$18, 4, FALSE))</f>
        <v/>
      </c>
      <c r="E72" s="17"/>
      <c r="F72" s="16" t="str">
        <f t="shared" si="0"/>
        <v/>
      </c>
    </row>
    <row r="73" spans="1:6" x14ac:dyDescent="0.25">
      <c r="A73" s="17"/>
      <c r="B73" s="15" t="str">
        <f>IF(ISBLANK(A73), "", VLOOKUP(A73, Menu!$A$2:$D$18, 2, FALSE))</f>
        <v/>
      </c>
      <c r="C73" s="15" t="str">
        <f>IF(ISBLANK(A73), "", VLOOKUP(A73, Menu!$A$2:$D$18, 3, FALSE))</f>
        <v/>
      </c>
      <c r="D73" s="16" t="str">
        <f>IF(ISBLANK(A73), "", VLOOKUP(A73, Menu!$A$2:$D$18, 4, FALSE))</f>
        <v/>
      </c>
      <c r="E73" s="17"/>
      <c r="F73" s="16" t="str">
        <f t="shared" ref="F73:F99" si="1">IF(ISBLANK(A73), "", D73*E73)</f>
        <v/>
      </c>
    </row>
    <row r="74" spans="1:6" x14ac:dyDescent="0.25">
      <c r="A74" s="17"/>
      <c r="B74" s="15" t="str">
        <f>IF(ISBLANK(A74), "", VLOOKUP(A74, Menu!$A$2:$D$18, 2, FALSE))</f>
        <v/>
      </c>
      <c r="C74" s="15" t="str">
        <f>IF(ISBLANK(A74), "", VLOOKUP(A74, Menu!$A$2:$D$18, 3, FALSE))</f>
        <v/>
      </c>
      <c r="D74" s="16" t="str">
        <f>IF(ISBLANK(A74), "", VLOOKUP(A74, Menu!$A$2:$D$18, 4, FALSE))</f>
        <v/>
      </c>
      <c r="E74" s="17"/>
      <c r="F74" s="16" t="str">
        <f t="shared" si="1"/>
        <v/>
      </c>
    </row>
    <row r="75" spans="1:6" x14ac:dyDescent="0.25">
      <c r="A75" s="17"/>
      <c r="B75" s="15" t="str">
        <f>IF(ISBLANK(A75), "", VLOOKUP(A75, Menu!$A$2:$D$18, 2, FALSE))</f>
        <v/>
      </c>
      <c r="C75" s="15" t="str">
        <f>IF(ISBLANK(A75), "", VLOOKUP(A75, Menu!$A$2:$D$18, 3, FALSE))</f>
        <v/>
      </c>
      <c r="D75" s="16" t="str">
        <f>IF(ISBLANK(A75), "", VLOOKUP(A75, Menu!$A$2:$D$18, 4, FALSE))</f>
        <v/>
      </c>
      <c r="E75" s="17"/>
      <c r="F75" s="16" t="str">
        <f t="shared" si="1"/>
        <v/>
      </c>
    </row>
    <row r="76" spans="1:6" x14ac:dyDescent="0.25">
      <c r="A76" s="17"/>
      <c r="B76" s="15" t="str">
        <f>IF(ISBLANK(A76), "", VLOOKUP(A76, Menu!$A$2:$D$18, 2, FALSE))</f>
        <v/>
      </c>
      <c r="C76" s="15" t="str">
        <f>IF(ISBLANK(A76), "", VLOOKUP(A76, Menu!$A$2:$D$18, 3, FALSE))</f>
        <v/>
      </c>
      <c r="D76" s="16" t="str">
        <f>IF(ISBLANK(A76), "", VLOOKUP(A76, Menu!$A$2:$D$18, 4, FALSE))</f>
        <v/>
      </c>
      <c r="E76" s="17"/>
      <c r="F76" s="16" t="str">
        <f t="shared" si="1"/>
        <v/>
      </c>
    </row>
    <row r="77" spans="1:6" x14ac:dyDescent="0.25">
      <c r="A77" s="17"/>
      <c r="B77" s="15" t="str">
        <f>IF(ISBLANK(A77), "", VLOOKUP(A77, Menu!$A$2:$D$18, 2, FALSE))</f>
        <v/>
      </c>
      <c r="C77" s="15" t="str">
        <f>IF(ISBLANK(A77), "", VLOOKUP(A77, Menu!$A$2:$D$18, 3, FALSE))</f>
        <v/>
      </c>
      <c r="D77" s="16" t="str">
        <f>IF(ISBLANK(A77), "", VLOOKUP(A77, Menu!$A$2:$D$18, 4, FALSE))</f>
        <v/>
      </c>
      <c r="E77" s="17"/>
      <c r="F77" s="16" t="str">
        <f t="shared" si="1"/>
        <v/>
      </c>
    </row>
    <row r="78" spans="1:6" x14ac:dyDescent="0.25">
      <c r="A78" s="17"/>
      <c r="B78" s="15" t="str">
        <f>IF(ISBLANK(A78), "", VLOOKUP(A78, Menu!$A$2:$D$18, 2, FALSE))</f>
        <v/>
      </c>
      <c r="C78" s="15" t="str">
        <f>IF(ISBLANK(A78), "", VLOOKUP(A78, Menu!$A$2:$D$18, 3, FALSE))</f>
        <v/>
      </c>
      <c r="D78" s="16" t="str">
        <f>IF(ISBLANK(A78), "", VLOOKUP(A78, Menu!$A$2:$D$18, 4, FALSE))</f>
        <v/>
      </c>
      <c r="E78" s="17"/>
      <c r="F78" s="16" t="str">
        <f t="shared" si="1"/>
        <v/>
      </c>
    </row>
    <row r="79" spans="1:6" x14ac:dyDescent="0.25">
      <c r="A79" s="17"/>
      <c r="B79" s="15" t="str">
        <f>IF(ISBLANK(A79), "", VLOOKUP(A79, Menu!$A$2:$D$18, 2, FALSE))</f>
        <v/>
      </c>
      <c r="C79" s="15" t="str">
        <f>IF(ISBLANK(A79), "", VLOOKUP(A79, Menu!$A$2:$D$18, 3, FALSE))</f>
        <v/>
      </c>
      <c r="D79" s="16" t="str">
        <f>IF(ISBLANK(A79), "", VLOOKUP(A79, Menu!$A$2:$D$18, 4, FALSE))</f>
        <v/>
      </c>
      <c r="E79" s="17"/>
      <c r="F79" s="16" t="str">
        <f t="shared" si="1"/>
        <v/>
      </c>
    </row>
    <row r="80" spans="1:6" x14ac:dyDescent="0.25">
      <c r="A80" s="17"/>
      <c r="B80" s="15" t="str">
        <f>IF(ISBLANK(A80), "", VLOOKUP(A80, Menu!$A$2:$D$18, 2, FALSE))</f>
        <v/>
      </c>
      <c r="C80" s="15" t="str">
        <f>IF(ISBLANK(A80), "", VLOOKUP(A80, Menu!$A$2:$D$18, 3, FALSE))</f>
        <v/>
      </c>
      <c r="D80" s="16" t="str">
        <f>IF(ISBLANK(A80), "", VLOOKUP(A80, Menu!$A$2:$D$18, 4, FALSE))</f>
        <v/>
      </c>
      <c r="E80" s="17"/>
      <c r="F80" s="16" t="str">
        <f t="shared" si="1"/>
        <v/>
      </c>
    </row>
    <row r="81" spans="1:6" x14ac:dyDescent="0.25">
      <c r="A81" s="17"/>
      <c r="B81" s="15" t="str">
        <f>IF(ISBLANK(A81), "", VLOOKUP(A81, Menu!$A$2:$D$18, 2, FALSE))</f>
        <v/>
      </c>
      <c r="C81" s="15" t="str">
        <f>IF(ISBLANK(A81), "", VLOOKUP(A81, Menu!$A$2:$D$18, 3, FALSE))</f>
        <v/>
      </c>
      <c r="D81" s="16" t="str">
        <f>IF(ISBLANK(A81), "", VLOOKUP(A81, Menu!$A$2:$D$18, 4, FALSE))</f>
        <v/>
      </c>
      <c r="E81" s="17"/>
      <c r="F81" s="16" t="str">
        <f t="shared" si="1"/>
        <v/>
      </c>
    </row>
    <row r="82" spans="1:6" x14ac:dyDescent="0.25">
      <c r="A82" s="17"/>
      <c r="B82" s="15" t="str">
        <f>IF(ISBLANK(A82), "", VLOOKUP(A82, Menu!$A$2:$D$18, 2, FALSE))</f>
        <v/>
      </c>
      <c r="C82" s="15" t="str">
        <f>IF(ISBLANK(A82), "", VLOOKUP(A82, Menu!$A$2:$D$18, 3, FALSE))</f>
        <v/>
      </c>
      <c r="D82" s="16" t="str">
        <f>IF(ISBLANK(A82), "", VLOOKUP(A82, Menu!$A$2:$D$18, 4, FALSE))</f>
        <v/>
      </c>
      <c r="E82" s="17"/>
      <c r="F82" s="16" t="str">
        <f t="shared" si="1"/>
        <v/>
      </c>
    </row>
    <row r="83" spans="1:6" x14ac:dyDescent="0.25">
      <c r="A83" s="17"/>
      <c r="B83" s="15" t="str">
        <f>IF(ISBLANK(A83), "", VLOOKUP(A83, Menu!$A$2:$D$18, 2, FALSE))</f>
        <v/>
      </c>
      <c r="C83" s="15" t="str">
        <f>IF(ISBLANK(A83), "", VLOOKUP(A83, Menu!$A$2:$D$18, 3, FALSE))</f>
        <v/>
      </c>
      <c r="D83" s="16" t="str">
        <f>IF(ISBLANK(A83), "", VLOOKUP(A83, Menu!$A$2:$D$18, 4, FALSE))</f>
        <v/>
      </c>
      <c r="E83" s="17"/>
      <c r="F83" s="16" t="str">
        <f t="shared" si="1"/>
        <v/>
      </c>
    </row>
    <row r="84" spans="1:6" x14ac:dyDescent="0.25">
      <c r="A84" s="17"/>
      <c r="B84" s="15" t="str">
        <f>IF(ISBLANK(A84), "", VLOOKUP(A84, Menu!$A$2:$D$18, 2, FALSE))</f>
        <v/>
      </c>
      <c r="C84" s="15" t="str">
        <f>IF(ISBLANK(A84), "", VLOOKUP(A84, Menu!$A$2:$D$18, 3, FALSE))</f>
        <v/>
      </c>
      <c r="D84" s="16" t="str">
        <f>IF(ISBLANK(A84), "", VLOOKUP(A84, Menu!$A$2:$D$18, 4, FALSE))</f>
        <v/>
      </c>
      <c r="E84" s="17"/>
      <c r="F84" s="16" t="str">
        <f t="shared" si="1"/>
        <v/>
      </c>
    </row>
    <row r="85" spans="1:6" x14ac:dyDescent="0.25">
      <c r="A85" s="17"/>
      <c r="B85" s="15" t="str">
        <f>IF(ISBLANK(A85), "", VLOOKUP(A85, Menu!$A$2:$D$18, 2, FALSE))</f>
        <v/>
      </c>
      <c r="C85" s="15" t="str">
        <f>IF(ISBLANK(A85), "", VLOOKUP(A85, Menu!$A$2:$D$18, 3, FALSE))</f>
        <v/>
      </c>
      <c r="D85" s="16" t="str">
        <f>IF(ISBLANK(A85), "", VLOOKUP(A85, Menu!$A$2:$D$18, 4, FALSE))</f>
        <v/>
      </c>
      <c r="E85" s="17"/>
      <c r="F85" s="16" t="str">
        <f t="shared" si="1"/>
        <v/>
      </c>
    </row>
    <row r="86" spans="1:6" x14ac:dyDescent="0.25">
      <c r="A86" s="17"/>
      <c r="B86" s="15" t="str">
        <f>IF(ISBLANK(A86), "", VLOOKUP(A86, Menu!$A$2:$D$18, 2, FALSE))</f>
        <v/>
      </c>
      <c r="C86" s="15" t="str">
        <f>IF(ISBLANK(A86), "", VLOOKUP(A86, Menu!$A$2:$D$18, 3, FALSE))</f>
        <v/>
      </c>
      <c r="D86" s="16" t="str">
        <f>IF(ISBLANK(A86), "", VLOOKUP(A86, Menu!$A$2:$D$18, 4, FALSE))</f>
        <v/>
      </c>
      <c r="E86" s="17"/>
      <c r="F86" s="16" t="str">
        <f t="shared" si="1"/>
        <v/>
      </c>
    </row>
    <row r="87" spans="1:6" x14ac:dyDescent="0.25">
      <c r="A87" s="17"/>
      <c r="B87" s="15" t="str">
        <f>IF(ISBLANK(A87), "", VLOOKUP(A87, Menu!$A$2:$D$18, 2, FALSE))</f>
        <v/>
      </c>
      <c r="C87" s="15" t="str">
        <f>IF(ISBLANK(A87), "", VLOOKUP(A87, Menu!$A$2:$D$18, 3, FALSE))</f>
        <v/>
      </c>
      <c r="D87" s="16" t="str">
        <f>IF(ISBLANK(A87), "", VLOOKUP(A87, Menu!$A$2:$D$18, 4, FALSE))</f>
        <v/>
      </c>
      <c r="E87" s="17"/>
      <c r="F87" s="16" t="str">
        <f t="shared" si="1"/>
        <v/>
      </c>
    </row>
    <row r="88" spans="1:6" x14ac:dyDescent="0.25">
      <c r="A88" s="17"/>
      <c r="B88" s="15" t="str">
        <f>IF(ISBLANK(A88), "", VLOOKUP(A88, Menu!$A$2:$D$18, 2, FALSE))</f>
        <v/>
      </c>
      <c r="C88" s="15" t="str">
        <f>IF(ISBLANK(A88), "", VLOOKUP(A88, Menu!$A$2:$D$18, 3, FALSE))</f>
        <v/>
      </c>
      <c r="D88" s="16" t="str">
        <f>IF(ISBLANK(A88), "", VLOOKUP(A88, Menu!$A$2:$D$18, 4, FALSE))</f>
        <v/>
      </c>
      <c r="E88" s="17"/>
      <c r="F88" s="16" t="str">
        <f t="shared" si="1"/>
        <v/>
      </c>
    </row>
    <row r="89" spans="1:6" x14ac:dyDescent="0.25">
      <c r="A89" s="17"/>
      <c r="B89" s="15" t="str">
        <f>IF(ISBLANK(A89), "", VLOOKUP(A89, Menu!$A$2:$D$18, 2, FALSE))</f>
        <v/>
      </c>
      <c r="C89" s="15" t="str">
        <f>IF(ISBLANK(A89), "", VLOOKUP(A89, Menu!$A$2:$D$18, 3, FALSE))</f>
        <v/>
      </c>
      <c r="D89" s="16" t="str">
        <f>IF(ISBLANK(A89), "", VLOOKUP(A89, Menu!$A$2:$D$18, 4, FALSE))</f>
        <v/>
      </c>
      <c r="E89" s="17"/>
      <c r="F89" s="16" t="str">
        <f t="shared" si="1"/>
        <v/>
      </c>
    </row>
    <row r="90" spans="1:6" x14ac:dyDescent="0.25">
      <c r="A90" s="17"/>
      <c r="B90" s="15" t="str">
        <f>IF(ISBLANK(A90), "", VLOOKUP(A90, Menu!$A$2:$D$18, 2, FALSE))</f>
        <v/>
      </c>
      <c r="C90" s="15" t="str">
        <f>IF(ISBLANK(A90), "", VLOOKUP(A90, Menu!$A$2:$D$18, 3, FALSE))</f>
        <v/>
      </c>
      <c r="D90" s="16" t="str">
        <f>IF(ISBLANK(A90), "", VLOOKUP(A90, Menu!$A$2:$D$18, 4, FALSE))</f>
        <v/>
      </c>
      <c r="E90" s="17"/>
      <c r="F90" s="16" t="str">
        <f t="shared" si="1"/>
        <v/>
      </c>
    </row>
    <row r="91" spans="1:6" x14ac:dyDescent="0.25">
      <c r="A91" s="17"/>
      <c r="B91" s="15" t="str">
        <f>IF(ISBLANK(A91), "", VLOOKUP(A91, Menu!$A$2:$D$18, 2, FALSE))</f>
        <v/>
      </c>
      <c r="C91" s="15" t="str">
        <f>IF(ISBLANK(A91), "", VLOOKUP(A91, Menu!$A$2:$D$18, 3, FALSE))</f>
        <v/>
      </c>
      <c r="D91" s="16" t="str">
        <f>IF(ISBLANK(A91), "", VLOOKUP(A91, Menu!$A$2:$D$18, 4, FALSE))</f>
        <v/>
      </c>
      <c r="E91" s="17"/>
      <c r="F91" s="16" t="str">
        <f t="shared" si="1"/>
        <v/>
      </c>
    </row>
    <row r="92" spans="1:6" x14ac:dyDescent="0.25">
      <c r="A92" s="17"/>
      <c r="B92" s="15" t="str">
        <f>IF(ISBLANK(A92), "", VLOOKUP(A92, Menu!$A$2:$D$18, 2, FALSE))</f>
        <v/>
      </c>
      <c r="C92" s="15" t="str">
        <f>IF(ISBLANK(A92), "", VLOOKUP(A92, Menu!$A$2:$D$18, 3, FALSE))</f>
        <v/>
      </c>
      <c r="D92" s="16" t="str">
        <f>IF(ISBLANK(A92), "", VLOOKUP(A92, Menu!$A$2:$D$18, 4, FALSE))</f>
        <v/>
      </c>
      <c r="E92" s="17"/>
      <c r="F92" s="16" t="str">
        <f t="shared" si="1"/>
        <v/>
      </c>
    </row>
    <row r="93" spans="1:6" x14ac:dyDescent="0.25">
      <c r="A93" s="17"/>
      <c r="B93" s="15" t="str">
        <f>IF(ISBLANK(A93), "", VLOOKUP(A93, Menu!$A$2:$D$18, 2, FALSE))</f>
        <v/>
      </c>
      <c r="C93" s="15" t="str">
        <f>IF(ISBLANK(A93), "", VLOOKUP(A93, Menu!$A$2:$D$18, 3, FALSE))</f>
        <v/>
      </c>
      <c r="D93" s="16" t="str">
        <f>IF(ISBLANK(A93), "", VLOOKUP(A93, Menu!$A$2:$D$18, 4, FALSE))</f>
        <v/>
      </c>
      <c r="E93" s="17"/>
      <c r="F93" s="16" t="str">
        <f t="shared" si="1"/>
        <v/>
      </c>
    </row>
    <row r="94" spans="1:6" x14ac:dyDescent="0.25">
      <c r="A94" s="17"/>
      <c r="B94" s="15" t="str">
        <f>IF(ISBLANK(A94), "", VLOOKUP(A94, Menu!$A$2:$D$18, 2, FALSE))</f>
        <v/>
      </c>
      <c r="C94" s="15" t="str">
        <f>IF(ISBLANK(A94), "", VLOOKUP(A94, Menu!$A$2:$D$18, 3, FALSE))</f>
        <v/>
      </c>
      <c r="D94" s="16" t="str">
        <f>IF(ISBLANK(A94), "", VLOOKUP(A94, Menu!$A$2:$D$18, 4, FALSE))</f>
        <v/>
      </c>
      <c r="E94" s="17"/>
      <c r="F94" s="16" t="str">
        <f t="shared" si="1"/>
        <v/>
      </c>
    </row>
    <row r="95" spans="1:6" x14ac:dyDescent="0.25">
      <c r="A95" s="17"/>
      <c r="B95" s="15" t="str">
        <f>IF(ISBLANK(A95), "", VLOOKUP(A95, Menu!$A$2:$D$18, 2, FALSE))</f>
        <v/>
      </c>
      <c r="C95" s="15" t="str">
        <f>IF(ISBLANK(A95), "", VLOOKUP(A95, Menu!$A$2:$D$18, 3, FALSE))</f>
        <v/>
      </c>
      <c r="D95" s="16" t="str">
        <f>IF(ISBLANK(A95), "", VLOOKUP(A95, Menu!$A$2:$D$18, 4, FALSE))</f>
        <v/>
      </c>
      <c r="E95" s="17"/>
      <c r="F95" s="16" t="str">
        <f t="shared" si="1"/>
        <v/>
      </c>
    </row>
    <row r="96" spans="1:6" x14ac:dyDescent="0.25">
      <c r="A96" s="17"/>
      <c r="B96" s="15" t="str">
        <f>IF(ISBLANK(A96), "", VLOOKUP(A96, Menu!$A$2:$D$18, 2, FALSE))</f>
        <v/>
      </c>
      <c r="C96" s="15" t="str">
        <f>IF(ISBLANK(A96), "", VLOOKUP(A96, Menu!$A$2:$D$18, 3, FALSE))</f>
        <v/>
      </c>
      <c r="D96" s="16" t="str">
        <f>IF(ISBLANK(A96), "", VLOOKUP(A96, Menu!$A$2:$D$18, 4, FALSE))</f>
        <v/>
      </c>
      <c r="E96" s="17"/>
      <c r="F96" s="16" t="str">
        <f t="shared" si="1"/>
        <v/>
      </c>
    </row>
    <row r="97" spans="1:6" x14ac:dyDescent="0.25">
      <c r="A97" s="17"/>
      <c r="B97" s="15" t="str">
        <f>IF(ISBLANK(A97), "", VLOOKUP(A97, Menu!$A$2:$D$18, 2, FALSE))</f>
        <v/>
      </c>
      <c r="C97" s="15" t="str">
        <f>IF(ISBLANK(A97), "", VLOOKUP(A97, Menu!$A$2:$D$18, 3, FALSE))</f>
        <v/>
      </c>
      <c r="D97" s="16" t="str">
        <f>IF(ISBLANK(A97), "", VLOOKUP(A97, Menu!$A$2:$D$18, 4, FALSE))</f>
        <v/>
      </c>
      <c r="E97" s="17"/>
      <c r="F97" s="16" t="str">
        <f t="shared" si="1"/>
        <v/>
      </c>
    </row>
    <row r="98" spans="1:6" x14ac:dyDescent="0.25">
      <c r="A98" s="17"/>
      <c r="B98" s="15" t="str">
        <f>IF(ISBLANK(A98), "", VLOOKUP(A98, Menu!$A$2:$D$18, 2, FALSE))</f>
        <v/>
      </c>
      <c r="C98" s="15" t="str">
        <f>IF(ISBLANK(A98), "", VLOOKUP(A98, Menu!$A$2:$D$18, 3, FALSE))</f>
        <v/>
      </c>
      <c r="D98" s="16" t="str">
        <f>IF(ISBLANK(A98), "", VLOOKUP(A98, Menu!$A$2:$D$18, 4, FALSE))</f>
        <v/>
      </c>
      <c r="E98" s="17"/>
      <c r="F98" s="16" t="str">
        <f t="shared" si="1"/>
        <v/>
      </c>
    </row>
    <row r="99" spans="1:6" x14ac:dyDescent="0.25">
      <c r="A99" s="17"/>
      <c r="B99" s="15" t="str">
        <f>IF(ISBLANK(A99), "", VLOOKUP(A99, Menu!$A$2:$D$18, 2, FALSE))</f>
        <v/>
      </c>
      <c r="C99" s="15" t="str">
        <f>IF(ISBLANK(A99), "", VLOOKUP(A99, Menu!$A$2:$D$18, 3, FALSE))</f>
        <v/>
      </c>
      <c r="D99" s="16" t="str">
        <f>IF(ISBLANK(A99), "", VLOOKUP(A99, Menu!$A$2:$D$18, 4, FALSE))</f>
        <v/>
      </c>
      <c r="E99" s="17"/>
      <c r="F99" s="16" t="str">
        <f t="shared" si="1"/>
        <v/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B87E0-9A0D-4348-8C10-1EDAFE580E78}">
  <sheetPr codeName="Sheet8"/>
  <dimension ref="A1:F99"/>
  <sheetViews>
    <sheetView workbookViewId="0">
      <selection activeCell="E4" sqref="E4"/>
    </sheetView>
  </sheetViews>
  <sheetFormatPr defaultRowHeight="15" x14ac:dyDescent="0.25"/>
  <cols>
    <col min="1" max="1" width="60.140625" style="13" bestFit="1" customWidth="1"/>
    <col min="2" max="2" width="46" style="13" bestFit="1" customWidth="1"/>
    <col min="3" max="3" width="39.140625" style="13" customWidth="1"/>
    <col min="4" max="4" width="11" style="13" bestFit="1" customWidth="1"/>
    <col min="5" max="5" width="19" style="13" customWidth="1"/>
    <col min="6" max="6" width="36" style="13" customWidth="1"/>
  </cols>
  <sheetData>
    <row r="1" spans="1:6" ht="20.25" x14ac:dyDescent="0.3">
      <c r="A1" s="1" t="s">
        <v>0</v>
      </c>
      <c r="B1" s="6" t="s">
        <v>14</v>
      </c>
      <c r="C1" s="7">
        <f>SUM(F8:F99)</f>
        <v>0</v>
      </c>
    </row>
    <row r="2" spans="1:6" ht="15.75" thickBot="1" x14ac:dyDescent="0.3">
      <c r="A2" s="2" t="s">
        <v>25</v>
      </c>
      <c r="B2" s="6" t="s">
        <v>15</v>
      </c>
      <c r="C2" s="8">
        <v>0</v>
      </c>
    </row>
    <row r="3" spans="1:6" ht="15.75" thickBot="1" x14ac:dyDescent="0.3">
      <c r="B3" s="6" t="s">
        <v>16</v>
      </c>
      <c r="C3" s="9">
        <f>C1+C2</f>
        <v>0</v>
      </c>
    </row>
    <row r="4" spans="1:6" x14ac:dyDescent="0.25">
      <c r="A4" s="3" t="s">
        <v>2</v>
      </c>
      <c r="B4" s="4" t="s">
        <v>26</v>
      </c>
      <c r="D4" s="3" t="s">
        <v>4</v>
      </c>
      <c r="E4" s="14">
        <f ca="1">TODAY()</f>
        <v>46316</v>
      </c>
    </row>
    <row r="5" spans="1:6" x14ac:dyDescent="0.25">
      <c r="A5" s="3" t="s">
        <v>5</v>
      </c>
      <c r="B5" s="18">
        <v>5</v>
      </c>
      <c r="D5" s="3" t="s">
        <v>6</v>
      </c>
      <c r="E5" s="4" t="s">
        <v>19</v>
      </c>
    </row>
    <row r="6" spans="1:6" ht="15.75" thickBot="1" x14ac:dyDescent="0.3"/>
    <row r="7" spans="1:6" ht="15.75" thickBot="1" x14ac:dyDescent="0.3">
      <c r="A7" s="5" t="s">
        <v>8</v>
      </c>
      <c r="B7" s="5" t="s">
        <v>9</v>
      </c>
      <c r="C7" s="5" t="s">
        <v>10</v>
      </c>
      <c r="D7" s="5" t="s">
        <v>11</v>
      </c>
      <c r="E7" s="5" t="s">
        <v>12</v>
      </c>
      <c r="F7" s="5" t="s">
        <v>13</v>
      </c>
    </row>
    <row r="8" spans="1:6" x14ac:dyDescent="0.25">
      <c r="A8" s="17"/>
      <c r="B8" s="15" t="str">
        <f>IF(ISBLANK(A8), "", VLOOKUP(A8, Menu!$A$2:$D$18, 2, FALSE))</f>
        <v/>
      </c>
      <c r="C8" s="15" t="str">
        <f>IF(ISBLANK(A8), "", VLOOKUP(A8, Menu!$A$2:$D$18, 3, FALSE))</f>
        <v/>
      </c>
      <c r="D8" s="16" t="str">
        <f>IF(ISBLANK(A8), "", VLOOKUP(A8, Menu!$A$2:$D$18, 4, FALSE))</f>
        <v/>
      </c>
      <c r="E8" s="17"/>
      <c r="F8" s="16" t="str">
        <f>IF(ISBLANK(A8), "", D8*E8)</f>
        <v/>
      </c>
    </row>
    <row r="9" spans="1:6" x14ac:dyDescent="0.25">
      <c r="A9" s="17"/>
      <c r="B9" s="15" t="str">
        <f>IF(ISBLANK(A9), "", VLOOKUP(A9, Menu!$A$2:$D$18, 2, FALSE))</f>
        <v/>
      </c>
      <c r="C9" s="15" t="str">
        <f>IF(ISBLANK(A9), "", VLOOKUP(A9, Menu!$A$2:$D$18, 3, FALSE))</f>
        <v/>
      </c>
      <c r="D9" s="16" t="str">
        <f>IF(ISBLANK(A9), "", VLOOKUP(A9, Menu!$A$2:$D$18, 4, FALSE))</f>
        <v/>
      </c>
      <c r="E9" s="17"/>
      <c r="F9" s="16" t="str">
        <f t="shared" ref="F9:F72" si="0">IF(ISBLANK(A9), "", D9*E9)</f>
        <v/>
      </c>
    </row>
    <row r="10" spans="1:6" x14ac:dyDescent="0.25">
      <c r="A10" s="17"/>
      <c r="B10" s="15" t="str">
        <f>IF(ISBLANK(A10), "", VLOOKUP(A10, Menu!$A$2:$D$18, 2, FALSE))</f>
        <v/>
      </c>
      <c r="C10" s="15" t="str">
        <f>IF(ISBLANK(A10), "", VLOOKUP(A10, Menu!$A$2:$D$18, 3, FALSE))</f>
        <v/>
      </c>
      <c r="D10" s="16" t="str">
        <f>IF(ISBLANK(A10), "", VLOOKUP(A10, Menu!$A$2:$D$18, 4, FALSE))</f>
        <v/>
      </c>
      <c r="E10" s="17"/>
      <c r="F10" s="16" t="str">
        <f t="shared" si="0"/>
        <v/>
      </c>
    </row>
    <row r="11" spans="1:6" x14ac:dyDescent="0.25">
      <c r="A11" s="17"/>
      <c r="B11" s="15" t="str">
        <f>IF(ISBLANK(A11), "", VLOOKUP(A11, Menu!$A$2:$D$18, 2, FALSE))</f>
        <v/>
      </c>
      <c r="C11" s="15" t="str">
        <f>IF(ISBLANK(A11), "", VLOOKUP(A11, Menu!$A$2:$D$18, 3, FALSE))</f>
        <v/>
      </c>
      <c r="D11" s="16" t="str">
        <f>IF(ISBLANK(A11), "", VLOOKUP(A11, Menu!$A$2:$D$18, 4, FALSE))</f>
        <v/>
      </c>
      <c r="E11" s="17"/>
      <c r="F11" s="16" t="str">
        <f t="shared" si="0"/>
        <v/>
      </c>
    </row>
    <row r="12" spans="1:6" x14ac:dyDescent="0.25">
      <c r="A12" s="17"/>
      <c r="B12" s="15" t="str">
        <f>IF(ISBLANK(A12), "", VLOOKUP(A12, Menu!$A$2:$D$18, 2, FALSE))</f>
        <v/>
      </c>
      <c r="C12" s="15" t="str">
        <f>IF(ISBLANK(A12), "", VLOOKUP(A12, Menu!$A$2:$D$18, 3, FALSE))</f>
        <v/>
      </c>
      <c r="D12" s="16" t="str">
        <f>IF(ISBLANK(A12), "", VLOOKUP(A12, Menu!$A$2:$D$18, 4, FALSE))</f>
        <v/>
      </c>
      <c r="E12" s="17"/>
      <c r="F12" s="16" t="str">
        <f t="shared" si="0"/>
        <v/>
      </c>
    </row>
    <row r="13" spans="1:6" x14ac:dyDescent="0.25">
      <c r="A13" s="17"/>
      <c r="B13" s="15" t="str">
        <f>IF(ISBLANK(A13), "", VLOOKUP(A13, Menu!$A$2:$D$18, 2, FALSE))</f>
        <v/>
      </c>
      <c r="C13" s="15" t="str">
        <f>IF(ISBLANK(A13), "", VLOOKUP(A13, Menu!$A$2:$D$18, 3, FALSE))</f>
        <v/>
      </c>
      <c r="D13" s="16" t="str">
        <f>IF(ISBLANK(A13), "", VLOOKUP(A13, Menu!$A$2:$D$18, 4, FALSE))</f>
        <v/>
      </c>
      <c r="E13" s="17"/>
      <c r="F13" s="16" t="str">
        <f t="shared" si="0"/>
        <v/>
      </c>
    </row>
    <row r="14" spans="1:6" x14ac:dyDescent="0.25">
      <c r="A14" s="17"/>
      <c r="B14" s="15" t="str">
        <f>IF(ISBLANK(A14), "", VLOOKUP(A14, Menu!$A$2:$D$18, 2, FALSE))</f>
        <v/>
      </c>
      <c r="C14" s="15" t="str">
        <f>IF(ISBLANK(A14), "", VLOOKUP(A14, Menu!$A$2:$D$18, 3, FALSE))</f>
        <v/>
      </c>
      <c r="D14" s="16" t="str">
        <f>IF(ISBLANK(A14), "", VLOOKUP(A14, Menu!$A$2:$D$18, 4, FALSE))</f>
        <v/>
      </c>
      <c r="E14" s="17"/>
      <c r="F14" s="16" t="str">
        <f t="shared" si="0"/>
        <v/>
      </c>
    </row>
    <row r="15" spans="1:6" x14ac:dyDescent="0.25">
      <c r="A15" s="17"/>
      <c r="B15" s="15" t="str">
        <f>IF(ISBLANK(A15), "", VLOOKUP(A15, Menu!$A$2:$D$18, 2, FALSE))</f>
        <v/>
      </c>
      <c r="C15" s="15" t="str">
        <f>IF(ISBLANK(A15), "", VLOOKUP(A15, Menu!$A$2:$D$18, 3, FALSE))</f>
        <v/>
      </c>
      <c r="D15" s="16" t="str">
        <f>IF(ISBLANK(A15), "", VLOOKUP(A15, Menu!$A$2:$D$18, 4, FALSE))</f>
        <v/>
      </c>
      <c r="E15" s="17"/>
      <c r="F15" s="16" t="str">
        <f t="shared" si="0"/>
        <v/>
      </c>
    </row>
    <row r="16" spans="1:6" x14ac:dyDescent="0.25">
      <c r="A16" s="17"/>
      <c r="B16" s="15" t="str">
        <f>IF(ISBLANK(A16), "", VLOOKUP(A16, Menu!$A$2:$D$18, 2, FALSE))</f>
        <v/>
      </c>
      <c r="C16" s="15" t="str">
        <f>IF(ISBLANK(A16), "", VLOOKUP(A16, Menu!$A$2:$D$18, 3, FALSE))</f>
        <v/>
      </c>
      <c r="D16" s="16" t="str">
        <f>IF(ISBLANK(A16), "", VLOOKUP(A16, Menu!$A$2:$D$18, 4, FALSE))</f>
        <v/>
      </c>
      <c r="E16" s="17"/>
      <c r="F16" s="16" t="str">
        <f t="shared" si="0"/>
        <v/>
      </c>
    </row>
    <row r="17" spans="1:6" x14ac:dyDescent="0.25">
      <c r="A17" s="17"/>
      <c r="B17" s="15" t="str">
        <f>IF(ISBLANK(A17), "", VLOOKUP(A17, Menu!$A$2:$D$18, 2, FALSE))</f>
        <v/>
      </c>
      <c r="C17" s="15" t="str">
        <f>IF(ISBLANK(A17), "", VLOOKUP(A17, Menu!$A$2:$D$18, 3, FALSE))</f>
        <v/>
      </c>
      <c r="D17" s="16" t="str">
        <f>IF(ISBLANK(A17), "", VLOOKUP(A17, Menu!$A$2:$D$18, 4, FALSE))</f>
        <v/>
      </c>
      <c r="E17" s="17"/>
      <c r="F17" s="16" t="str">
        <f t="shared" si="0"/>
        <v/>
      </c>
    </row>
    <row r="18" spans="1:6" x14ac:dyDescent="0.25">
      <c r="A18" s="17"/>
      <c r="B18" s="15" t="str">
        <f>IF(ISBLANK(A18), "", VLOOKUP(A18, Menu!$A$2:$D$18, 2, FALSE))</f>
        <v/>
      </c>
      <c r="C18" s="15" t="str">
        <f>IF(ISBLANK(A18), "", VLOOKUP(A18, Menu!$A$2:$D$18, 3, FALSE))</f>
        <v/>
      </c>
      <c r="D18" s="16" t="str">
        <f>IF(ISBLANK(A18), "", VLOOKUP(A18, Menu!$A$2:$D$18, 4, FALSE))</f>
        <v/>
      </c>
      <c r="E18" s="17"/>
      <c r="F18" s="16" t="str">
        <f t="shared" si="0"/>
        <v/>
      </c>
    </row>
    <row r="19" spans="1:6" x14ac:dyDescent="0.25">
      <c r="A19" s="17"/>
      <c r="B19" s="15" t="str">
        <f>IF(ISBLANK(A19), "", VLOOKUP(A19, Menu!$A$2:$D$18, 2, FALSE))</f>
        <v/>
      </c>
      <c r="C19" s="15" t="str">
        <f>IF(ISBLANK(A19), "", VLOOKUP(A19, Menu!$A$2:$D$18, 3, FALSE))</f>
        <v/>
      </c>
      <c r="D19" s="16" t="str">
        <f>IF(ISBLANK(A19), "", VLOOKUP(A19, Menu!$A$2:$D$18, 4, FALSE))</f>
        <v/>
      </c>
      <c r="E19" s="17"/>
      <c r="F19" s="16" t="str">
        <f t="shared" si="0"/>
        <v/>
      </c>
    </row>
    <row r="20" spans="1:6" x14ac:dyDescent="0.25">
      <c r="A20" s="17"/>
      <c r="B20" s="15" t="str">
        <f>IF(ISBLANK(A20), "", VLOOKUP(A20, Menu!$A$2:$D$18, 2, FALSE))</f>
        <v/>
      </c>
      <c r="C20" s="15" t="str">
        <f>IF(ISBLANK(A20), "", VLOOKUP(A20, Menu!$A$2:$D$18, 3, FALSE))</f>
        <v/>
      </c>
      <c r="D20" s="16" t="str">
        <f>IF(ISBLANK(A20), "", VLOOKUP(A20, Menu!$A$2:$D$18, 4, FALSE))</f>
        <v/>
      </c>
      <c r="E20" s="17"/>
      <c r="F20" s="16" t="str">
        <f t="shared" si="0"/>
        <v/>
      </c>
    </row>
    <row r="21" spans="1:6" x14ac:dyDescent="0.25">
      <c r="A21" s="17"/>
      <c r="B21" s="15" t="str">
        <f>IF(ISBLANK(A21), "", VLOOKUP(A21, Menu!$A$2:$D$18, 2, FALSE))</f>
        <v/>
      </c>
      <c r="C21" s="15" t="str">
        <f>IF(ISBLANK(A21), "", VLOOKUP(A21, Menu!$A$2:$D$18, 3, FALSE))</f>
        <v/>
      </c>
      <c r="D21" s="16" t="str">
        <f>IF(ISBLANK(A21), "", VLOOKUP(A21, Menu!$A$2:$D$18, 4, FALSE))</f>
        <v/>
      </c>
      <c r="E21" s="17"/>
      <c r="F21" s="16" t="str">
        <f t="shared" si="0"/>
        <v/>
      </c>
    </row>
    <row r="22" spans="1:6" x14ac:dyDescent="0.25">
      <c r="A22" s="17"/>
      <c r="B22" s="15" t="str">
        <f>IF(ISBLANK(A22), "", VLOOKUP(A22, Menu!$A$2:$D$18, 2, FALSE))</f>
        <v/>
      </c>
      <c r="C22" s="15" t="str">
        <f>IF(ISBLANK(A22), "", VLOOKUP(A22, Menu!$A$2:$D$18, 3, FALSE))</f>
        <v/>
      </c>
      <c r="D22" s="16" t="str">
        <f>IF(ISBLANK(A22), "", VLOOKUP(A22, Menu!$A$2:$D$18, 4, FALSE))</f>
        <v/>
      </c>
      <c r="E22" s="17"/>
      <c r="F22" s="16" t="str">
        <f t="shared" si="0"/>
        <v/>
      </c>
    </row>
    <row r="23" spans="1:6" x14ac:dyDescent="0.25">
      <c r="A23" s="17"/>
      <c r="B23" s="15" t="str">
        <f>IF(ISBLANK(A23), "", VLOOKUP(A23, Menu!$A$2:$D$18, 2, FALSE))</f>
        <v/>
      </c>
      <c r="C23" s="15" t="str">
        <f>IF(ISBLANK(A23), "", VLOOKUP(A23, Menu!$A$2:$D$18, 3, FALSE))</f>
        <v/>
      </c>
      <c r="D23" s="16" t="str">
        <f>IF(ISBLANK(A23), "", VLOOKUP(A23, Menu!$A$2:$D$18, 4, FALSE))</f>
        <v/>
      </c>
      <c r="E23" s="17"/>
      <c r="F23" s="16" t="str">
        <f t="shared" si="0"/>
        <v/>
      </c>
    </row>
    <row r="24" spans="1:6" x14ac:dyDescent="0.25">
      <c r="A24" s="17"/>
      <c r="B24" s="15" t="str">
        <f>IF(ISBLANK(A24), "", VLOOKUP(A24, Menu!$A$2:$D$18, 2, FALSE))</f>
        <v/>
      </c>
      <c r="C24" s="15" t="str">
        <f>IF(ISBLANK(A24), "", VLOOKUP(A24, Menu!$A$2:$D$18, 3, FALSE))</f>
        <v/>
      </c>
      <c r="D24" s="16" t="str">
        <f>IF(ISBLANK(A24), "", VLOOKUP(A24, Menu!$A$2:$D$18, 4, FALSE))</f>
        <v/>
      </c>
      <c r="E24" s="17"/>
      <c r="F24" s="16" t="str">
        <f t="shared" si="0"/>
        <v/>
      </c>
    </row>
    <row r="25" spans="1:6" x14ac:dyDescent="0.25">
      <c r="A25" s="17"/>
      <c r="B25" s="15" t="str">
        <f>IF(ISBLANK(A25), "", VLOOKUP(A25, Menu!$A$2:$D$18, 2, FALSE))</f>
        <v/>
      </c>
      <c r="C25" s="15" t="str">
        <f>IF(ISBLANK(A25), "", VLOOKUP(A25, Menu!$A$2:$D$18, 3, FALSE))</f>
        <v/>
      </c>
      <c r="D25" s="16" t="str">
        <f>IF(ISBLANK(A25), "", VLOOKUP(A25, Menu!$A$2:$D$18, 4, FALSE))</f>
        <v/>
      </c>
      <c r="E25" s="17"/>
      <c r="F25" s="16" t="str">
        <f t="shared" si="0"/>
        <v/>
      </c>
    </row>
    <row r="26" spans="1:6" x14ac:dyDescent="0.25">
      <c r="A26" s="17"/>
      <c r="B26" s="15" t="str">
        <f>IF(ISBLANK(A26), "", VLOOKUP(A26, Menu!$A$2:$D$18, 2, FALSE))</f>
        <v/>
      </c>
      <c r="C26" s="15" t="str">
        <f>IF(ISBLANK(A26), "", VLOOKUP(A26, Menu!$A$2:$D$18, 3, FALSE))</f>
        <v/>
      </c>
      <c r="D26" s="16" t="str">
        <f>IF(ISBLANK(A26), "", VLOOKUP(A26, Menu!$A$2:$D$18, 4, FALSE))</f>
        <v/>
      </c>
      <c r="E26" s="17"/>
      <c r="F26" s="16" t="str">
        <f t="shared" si="0"/>
        <v/>
      </c>
    </row>
    <row r="27" spans="1:6" x14ac:dyDescent="0.25">
      <c r="A27" s="17"/>
      <c r="B27" s="15" t="str">
        <f>IF(ISBLANK(A27), "", VLOOKUP(A27, Menu!$A$2:$D$18, 2, FALSE))</f>
        <v/>
      </c>
      <c r="C27" s="15" t="str">
        <f>IF(ISBLANK(A27), "", VLOOKUP(A27, Menu!$A$2:$D$18, 3, FALSE))</f>
        <v/>
      </c>
      <c r="D27" s="16" t="str">
        <f>IF(ISBLANK(A27), "", VLOOKUP(A27, Menu!$A$2:$D$18, 4, FALSE))</f>
        <v/>
      </c>
      <c r="E27" s="17"/>
      <c r="F27" s="16" t="str">
        <f t="shared" si="0"/>
        <v/>
      </c>
    </row>
    <row r="28" spans="1:6" x14ac:dyDescent="0.25">
      <c r="A28" s="17"/>
      <c r="B28" s="15" t="str">
        <f>IF(ISBLANK(A28), "", VLOOKUP(A28, Menu!$A$2:$D$18, 2, FALSE))</f>
        <v/>
      </c>
      <c r="C28" s="15" t="str">
        <f>IF(ISBLANK(A28), "", VLOOKUP(A28, Menu!$A$2:$D$18, 3, FALSE))</f>
        <v/>
      </c>
      <c r="D28" s="16" t="str">
        <f>IF(ISBLANK(A28), "", VLOOKUP(A28, Menu!$A$2:$D$18, 4, FALSE))</f>
        <v/>
      </c>
      <c r="E28" s="17"/>
      <c r="F28" s="16" t="str">
        <f t="shared" si="0"/>
        <v/>
      </c>
    </row>
    <row r="29" spans="1:6" x14ac:dyDescent="0.25">
      <c r="A29" s="17"/>
      <c r="B29" s="15" t="str">
        <f>IF(ISBLANK(A29), "", VLOOKUP(A29, Menu!$A$2:$D$18, 2, FALSE))</f>
        <v/>
      </c>
      <c r="C29" s="15" t="str">
        <f>IF(ISBLANK(A29), "", VLOOKUP(A29, Menu!$A$2:$D$18, 3, FALSE))</f>
        <v/>
      </c>
      <c r="D29" s="16" t="str">
        <f>IF(ISBLANK(A29), "", VLOOKUP(A29, Menu!$A$2:$D$18, 4, FALSE))</f>
        <v/>
      </c>
      <c r="E29" s="17"/>
      <c r="F29" s="16" t="str">
        <f t="shared" si="0"/>
        <v/>
      </c>
    </row>
    <row r="30" spans="1:6" x14ac:dyDescent="0.25">
      <c r="A30" s="17"/>
      <c r="B30" s="15" t="str">
        <f>IF(ISBLANK(A30), "", VLOOKUP(A30, Menu!$A$2:$D$18, 2, FALSE))</f>
        <v/>
      </c>
      <c r="C30" s="15" t="str">
        <f>IF(ISBLANK(A30), "", VLOOKUP(A30, Menu!$A$2:$D$18, 3, FALSE))</f>
        <v/>
      </c>
      <c r="D30" s="16" t="str">
        <f>IF(ISBLANK(A30), "", VLOOKUP(A30, Menu!$A$2:$D$18, 4, FALSE))</f>
        <v/>
      </c>
      <c r="E30" s="17"/>
      <c r="F30" s="16" t="str">
        <f t="shared" si="0"/>
        <v/>
      </c>
    </row>
    <row r="31" spans="1:6" x14ac:dyDescent="0.25">
      <c r="A31" s="17"/>
      <c r="B31" s="15" t="str">
        <f>IF(ISBLANK(A31), "", VLOOKUP(A31, Menu!$A$2:$D$18, 2, FALSE))</f>
        <v/>
      </c>
      <c r="C31" s="15" t="str">
        <f>IF(ISBLANK(A31), "", VLOOKUP(A31, Menu!$A$2:$D$18, 3, FALSE))</f>
        <v/>
      </c>
      <c r="D31" s="16" t="str">
        <f>IF(ISBLANK(A31), "", VLOOKUP(A31, Menu!$A$2:$D$18, 4, FALSE))</f>
        <v/>
      </c>
      <c r="E31" s="17"/>
      <c r="F31" s="16" t="str">
        <f t="shared" si="0"/>
        <v/>
      </c>
    </row>
    <row r="32" spans="1:6" x14ac:dyDescent="0.25">
      <c r="A32" s="17"/>
      <c r="B32" s="15" t="str">
        <f>IF(ISBLANK(A32), "", VLOOKUP(A32, Menu!$A$2:$D$18, 2, FALSE))</f>
        <v/>
      </c>
      <c r="C32" s="15" t="str">
        <f>IF(ISBLANK(A32), "", VLOOKUP(A32, Menu!$A$2:$D$18, 3, FALSE))</f>
        <v/>
      </c>
      <c r="D32" s="16" t="str">
        <f>IF(ISBLANK(A32), "", VLOOKUP(A32, Menu!$A$2:$D$18, 4, FALSE))</f>
        <v/>
      </c>
      <c r="E32" s="17"/>
      <c r="F32" s="16" t="str">
        <f t="shared" si="0"/>
        <v/>
      </c>
    </row>
    <row r="33" spans="1:6" x14ac:dyDescent="0.25">
      <c r="A33" s="17"/>
      <c r="B33" s="15" t="str">
        <f>IF(ISBLANK(A33), "", VLOOKUP(A33, Menu!$A$2:$D$18, 2, FALSE))</f>
        <v/>
      </c>
      <c r="C33" s="15" t="str">
        <f>IF(ISBLANK(A33), "", VLOOKUP(A33, Menu!$A$2:$D$18, 3, FALSE))</f>
        <v/>
      </c>
      <c r="D33" s="16" t="str">
        <f>IF(ISBLANK(A33), "", VLOOKUP(A33, Menu!$A$2:$D$18, 4, FALSE))</f>
        <v/>
      </c>
      <c r="E33" s="17"/>
      <c r="F33" s="16" t="str">
        <f t="shared" si="0"/>
        <v/>
      </c>
    </row>
    <row r="34" spans="1:6" x14ac:dyDescent="0.25">
      <c r="A34" s="17"/>
      <c r="B34" s="15" t="str">
        <f>IF(ISBLANK(A34), "", VLOOKUP(A34, Menu!$A$2:$D$18, 2, FALSE))</f>
        <v/>
      </c>
      <c r="C34" s="15" t="str">
        <f>IF(ISBLANK(A34), "", VLOOKUP(A34, Menu!$A$2:$D$18, 3, FALSE))</f>
        <v/>
      </c>
      <c r="D34" s="16" t="str">
        <f>IF(ISBLANK(A34), "", VLOOKUP(A34, Menu!$A$2:$D$18, 4, FALSE))</f>
        <v/>
      </c>
      <c r="E34" s="17"/>
      <c r="F34" s="16" t="str">
        <f t="shared" si="0"/>
        <v/>
      </c>
    </row>
    <row r="35" spans="1:6" x14ac:dyDescent="0.25">
      <c r="A35" s="17"/>
      <c r="B35" s="15" t="str">
        <f>IF(ISBLANK(A35), "", VLOOKUP(A35, Menu!$A$2:$D$18, 2, FALSE))</f>
        <v/>
      </c>
      <c r="C35" s="15" t="str">
        <f>IF(ISBLANK(A35), "", VLOOKUP(A35, Menu!$A$2:$D$18, 3, FALSE))</f>
        <v/>
      </c>
      <c r="D35" s="16" t="str">
        <f>IF(ISBLANK(A35), "", VLOOKUP(A35, Menu!$A$2:$D$18, 4, FALSE))</f>
        <v/>
      </c>
      <c r="E35" s="17"/>
      <c r="F35" s="16" t="str">
        <f t="shared" si="0"/>
        <v/>
      </c>
    </row>
    <row r="36" spans="1:6" x14ac:dyDescent="0.25">
      <c r="A36" s="17"/>
      <c r="B36" s="15" t="str">
        <f>IF(ISBLANK(A36), "", VLOOKUP(A36, Menu!$A$2:$D$18, 2, FALSE))</f>
        <v/>
      </c>
      <c r="C36" s="15" t="str">
        <f>IF(ISBLANK(A36), "", VLOOKUP(A36, Menu!$A$2:$D$18, 3, FALSE))</f>
        <v/>
      </c>
      <c r="D36" s="16" t="str">
        <f>IF(ISBLANK(A36), "", VLOOKUP(A36, Menu!$A$2:$D$18, 4, FALSE))</f>
        <v/>
      </c>
      <c r="E36" s="17"/>
      <c r="F36" s="16" t="str">
        <f t="shared" si="0"/>
        <v/>
      </c>
    </row>
    <row r="37" spans="1:6" x14ac:dyDescent="0.25">
      <c r="A37" s="17"/>
      <c r="B37" s="15" t="str">
        <f>IF(ISBLANK(A37), "", VLOOKUP(A37, Menu!$A$2:$D$18, 2, FALSE))</f>
        <v/>
      </c>
      <c r="C37" s="15" t="str">
        <f>IF(ISBLANK(A37), "", VLOOKUP(A37, Menu!$A$2:$D$18, 3, FALSE))</f>
        <v/>
      </c>
      <c r="D37" s="16" t="str">
        <f>IF(ISBLANK(A37), "", VLOOKUP(A37, Menu!$A$2:$D$18, 4, FALSE))</f>
        <v/>
      </c>
      <c r="E37" s="17"/>
      <c r="F37" s="16" t="str">
        <f t="shared" si="0"/>
        <v/>
      </c>
    </row>
    <row r="38" spans="1:6" x14ac:dyDescent="0.25">
      <c r="A38" s="17"/>
      <c r="B38" s="15" t="str">
        <f>IF(ISBLANK(A38), "", VLOOKUP(A38, Menu!$A$2:$D$18, 2, FALSE))</f>
        <v/>
      </c>
      <c r="C38" s="15" t="str">
        <f>IF(ISBLANK(A38), "", VLOOKUP(A38, Menu!$A$2:$D$18, 3, FALSE))</f>
        <v/>
      </c>
      <c r="D38" s="16" t="str">
        <f>IF(ISBLANK(A38), "", VLOOKUP(A38, Menu!$A$2:$D$18, 4, FALSE))</f>
        <v/>
      </c>
      <c r="E38" s="17"/>
      <c r="F38" s="16" t="str">
        <f t="shared" si="0"/>
        <v/>
      </c>
    </row>
    <row r="39" spans="1:6" x14ac:dyDescent="0.25">
      <c r="A39" s="17"/>
      <c r="B39" s="15" t="str">
        <f>IF(ISBLANK(A39), "", VLOOKUP(A39, Menu!$A$2:$D$18, 2, FALSE))</f>
        <v/>
      </c>
      <c r="C39" s="15" t="str">
        <f>IF(ISBLANK(A39), "", VLOOKUP(A39, Menu!$A$2:$D$18, 3, FALSE))</f>
        <v/>
      </c>
      <c r="D39" s="16" t="str">
        <f>IF(ISBLANK(A39), "", VLOOKUP(A39, Menu!$A$2:$D$18, 4, FALSE))</f>
        <v/>
      </c>
      <c r="E39" s="17"/>
      <c r="F39" s="16" t="str">
        <f t="shared" si="0"/>
        <v/>
      </c>
    </row>
    <row r="40" spans="1:6" x14ac:dyDescent="0.25">
      <c r="A40" s="17"/>
      <c r="B40" s="15" t="str">
        <f>IF(ISBLANK(A40), "", VLOOKUP(A40, Menu!$A$2:$D$18, 2, FALSE))</f>
        <v/>
      </c>
      <c r="C40" s="15" t="str">
        <f>IF(ISBLANK(A40), "", VLOOKUP(A40, Menu!$A$2:$D$18, 3, FALSE))</f>
        <v/>
      </c>
      <c r="D40" s="16" t="str">
        <f>IF(ISBLANK(A40), "", VLOOKUP(A40, Menu!$A$2:$D$18, 4, FALSE))</f>
        <v/>
      </c>
      <c r="E40" s="17"/>
      <c r="F40" s="16" t="str">
        <f t="shared" si="0"/>
        <v/>
      </c>
    </row>
    <row r="41" spans="1:6" x14ac:dyDescent="0.25">
      <c r="A41" s="17"/>
      <c r="B41" s="15" t="str">
        <f>IF(ISBLANK(A41), "", VLOOKUP(A41, Menu!$A$2:$D$18, 2, FALSE))</f>
        <v/>
      </c>
      <c r="C41" s="15" t="str">
        <f>IF(ISBLANK(A41), "", VLOOKUP(A41, Menu!$A$2:$D$18, 3, FALSE))</f>
        <v/>
      </c>
      <c r="D41" s="16" t="str">
        <f>IF(ISBLANK(A41), "", VLOOKUP(A41, Menu!$A$2:$D$18, 4, FALSE))</f>
        <v/>
      </c>
      <c r="E41" s="17"/>
      <c r="F41" s="16" t="str">
        <f t="shared" si="0"/>
        <v/>
      </c>
    </row>
    <row r="42" spans="1:6" x14ac:dyDescent="0.25">
      <c r="A42" s="17"/>
      <c r="B42" s="15" t="str">
        <f>IF(ISBLANK(A42), "", VLOOKUP(A42, Menu!$A$2:$D$18, 2, FALSE))</f>
        <v/>
      </c>
      <c r="C42" s="15" t="str">
        <f>IF(ISBLANK(A42), "", VLOOKUP(A42, Menu!$A$2:$D$18, 3, FALSE))</f>
        <v/>
      </c>
      <c r="D42" s="16" t="str">
        <f>IF(ISBLANK(A42), "", VLOOKUP(A42, Menu!$A$2:$D$18, 4, FALSE))</f>
        <v/>
      </c>
      <c r="E42" s="17"/>
      <c r="F42" s="16" t="str">
        <f t="shared" si="0"/>
        <v/>
      </c>
    </row>
    <row r="43" spans="1:6" x14ac:dyDescent="0.25">
      <c r="A43" s="17"/>
      <c r="B43" s="15" t="str">
        <f>IF(ISBLANK(A43), "", VLOOKUP(A43, Menu!$A$2:$D$18, 2, FALSE))</f>
        <v/>
      </c>
      <c r="C43" s="15" t="str">
        <f>IF(ISBLANK(A43), "", VLOOKUP(A43, Menu!$A$2:$D$18, 3, FALSE))</f>
        <v/>
      </c>
      <c r="D43" s="16" t="str">
        <f>IF(ISBLANK(A43), "", VLOOKUP(A43, Menu!$A$2:$D$18, 4, FALSE))</f>
        <v/>
      </c>
      <c r="E43" s="17"/>
      <c r="F43" s="16" t="str">
        <f t="shared" si="0"/>
        <v/>
      </c>
    </row>
    <row r="44" spans="1:6" x14ac:dyDescent="0.25">
      <c r="A44" s="17"/>
      <c r="B44" s="15" t="str">
        <f>IF(ISBLANK(A44), "", VLOOKUP(A44, Menu!$A$2:$D$18, 2, FALSE))</f>
        <v/>
      </c>
      <c r="C44" s="15" t="str">
        <f>IF(ISBLANK(A44), "", VLOOKUP(A44, Menu!$A$2:$D$18, 3, FALSE))</f>
        <v/>
      </c>
      <c r="D44" s="16" t="str">
        <f>IF(ISBLANK(A44), "", VLOOKUP(A44, Menu!$A$2:$D$18, 4, FALSE))</f>
        <v/>
      </c>
      <c r="E44" s="17"/>
      <c r="F44" s="16" t="str">
        <f t="shared" si="0"/>
        <v/>
      </c>
    </row>
    <row r="45" spans="1:6" x14ac:dyDescent="0.25">
      <c r="A45" s="17"/>
      <c r="B45" s="15" t="str">
        <f>IF(ISBLANK(A45), "", VLOOKUP(A45, Menu!$A$2:$D$18, 2, FALSE))</f>
        <v/>
      </c>
      <c r="C45" s="15" t="str">
        <f>IF(ISBLANK(A45), "", VLOOKUP(A45, Menu!$A$2:$D$18, 3, FALSE))</f>
        <v/>
      </c>
      <c r="D45" s="16" t="str">
        <f>IF(ISBLANK(A45), "", VLOOKUP(A45, Menu!$A$2:$D$18, 4, FALSE))</f>
        <v/>
      </c>
      <c r="E45" s="17"/>
      <c r="F45" s="16" t="str">
        <f t="shared" si="0"/>
        <v/>
      </c>
    </row>
    <row r="46" spans="1:6" x14ac:dyDescent="0.25">
      <c r="A46" s="17"/>
      <c r="B46" s="15" t="str">
        <f>IF(ISBLANK(A46), "", VLOOKUP(A46, Menu!$A$2:$D$18, 2, FALSE))</f>
        <v/>
      </c>
      <c r="C46" s="15" t="str">
        <f>IF(ISBLANK(A46), "", VLOOKUP(A46, Menu!$A$2:$D$18, 3, FALSE))</f>
        <v/>
      </c>
      <c r="D46" s="16" t="str">
        <f>IF(ISBLANK(A46), "", VLOOKUP(A46, Menu!$A$2:$D$18, 4, FALSE))</f>
        <v/>
      </c>
      <c r="E46" s="17"/>
      <c r="F46" s="16" t="str">
        <f t="shared" si="0"/>
        <v/>
      </c>
    </row>
    <row r="47" spans="1:6" x14ac:dyDescent="0.25">
      <c r="A47" s="17"/>
      <c r="B47" s="15" t="str">
        <f>IF(ISBLANK(A47), "", VLOOKUP(A47, Menu!$A$2:$D$18, 2, FALSE))</f>
        <v/>
      </c>
      <c r="C47" s="15" t="str">
        <f>IF(ISBLANK(A47), "", VLOOKUP(A47, Menu!$A$2:$D$18, 3, FALSE))</f>
        <v/>
      </c>
      <c r="D47" s="16" t="str">
        <f>IF(ISBLANK(A47), "", VLOOKUP(A47, Menu!$A$2:$D$18, 4, FALSE))</f>
        <v/>
      </c>
      <c r="E47" s="17"/>
      <c r="F47" s="16" t="str">
        <f t="shared" si="0"/>
        <v/>
      </c>
    </row>
    <row r="48" spans="1:6" x14ac:dyDescent="0.25">
      <c r="A48" s="17"/>
      <c r="B48" s="15" t="str">
        <f>IF(ISBLANK(A48), "", VLOOKUP(A48, Menu!$A$2:$D$18, 2, FALSE))</f>
        <v/>
      </c>
      <c r="C48" s="15" t="str">
        <f>IF(ISBLANK(A48), "", VLOOKUP(A48, Menu!$A$2:$D$18, 3, FALSE))</f>
        <v/>
      </c>
      <c r="D48" s="16" t="str">
        <f>IF(ISBLANK(A48), "", VLOOKUP(A48, Menu!$A$2:$D$18, 4, FALSE))</f>
        <v/>
      </c>
      <c r="E48" s="17"/>
      <c r="F48" s="16" t="str">
        <f t="shared" si="0"/>
        <v/>
      </c>
    </row>
    <row r="49" spans="1:6" x14ac:dyDescent="0.25">
      <c r="A49" s="17"/>
      <c r="B49" s="15" t="str">
        <f>IF(ISBLANK(A49), "", VLOOKUP(A49, Menu!$A$2:$D$18, 2, FALSE))</f>
        <v/>
      </c>
      <c r="C49" s="15" t="str">
        <f>IF(ISBLANK(A49), "", VLOOKUP(A49, Menu!$A$2:$D$18, 3, FALSE))</f>
        <v/>
      </c>
      <c r="D49" s="16" t="str">
        <f>IF(ISBLANK(A49), "", VLOOKUP(A49, Menu!$A$2:$D$18, 4, FALSE))</f>
        <v/>
      </c>
      <c r="E49" s="17"/>
      <c r="F49" s="16" t="str">
        <f t="shared" si="0"/>
        <v/>
      </c>
    </row>
    <row r="50" spans="1:6" x14ac:dyDescent="0.25">
      <c r="A50" s="17"/>
      <c r="B50" s="15" t="str">
        <f>IF(ISBLANK(A50), "", VLOOKUP(A50, Menu!$A$2:$D$18, 2, FALSE))</f>
        <v/>
      </c>
      <c r="C50" s="15" t="str">
        <f>IF(ISBLANK(A50), "", VLOOKUP(A50, Menu!$A$2:$D$18, 3, FALSE))</f>
        <v/>
      </c>
      <c r="D50" s="16" t="str">
        <f>IF(ISBLANK(A50), "", VLOOKUP(A50, Menu!$A$2:$D$18, 4, FALSE))</f>
        <v/>
      </c>
      <c r="E50" s="17"/>
      <c r="F50" s="16" t="str">
        <f t="shared" si="0"/>
        <v/>
      </c>
    </row>
    <row r="51" spans="1:6" x14ac:dyDescent="0.25">
      <c r="A51" s="17"/>
      <c r="B51" s="15" t="str">
        <f>IF(ISBLANK(A51), "", VLOOKUP(A51, Menu!$A$2:$D$18, 2, FALSE))</f>
        <v/>
      </c>
      <c r="C51" s="15" t="str">
        <f>IF(ISBLANK(A51), "", VLOOKUP(A51, Menu!$A$2:$D$18, 3, FALSE))</f>
        <v/>
      </c>
      <c r="D51" s="16" t="str">
        <f>IF(ISBLANK(A51), "", VLOOKUP(A51, Menu!$A$2:$D$18, 4, FALSE))</f>
        <v/>
      </c>
      <c r="E51" s="17"/>
      <c r="F51" s="16" t="str">
        <f t="shared" si="0"/>
        <v/>
      </c>
    </row>
    <row r="52" spans="1:6" x14ac:dyDescent="0.25">
      <c r="A52" s="17"/>
      <c r="B52" s="15" t="str">
        <f>IF(ISBLANK(A52), "", VLOOKUP(A52, Menu!$A$2:$D$18, 2, FALSE))</f>
        <v/>
      </c>
      <c r="C52" s="15" t="str">
        <f>IF(ISBLANK(A52), "", VLOOKUP(A52, Menu!$A$2:$D$18, 3, FALSE))</f>
        <v/>
      </c>
      <c r="D52" s="16" t="str">
        <f>IF(ISBLANK(A52), "", VLOOKUP(A52, Menu!$A$2:$D$18, 4, FALSE))</f>
        <v/>
      </c>
      <c r="E52" s="17"/>
      <c r="F52" s="16" t="str">
        <f t="shared" si="0"/>
        <v/>
      </c>
    </row>
    <row r="53" spans="1:6" x14ac:dyDescent="0.25">
      <c r="A53" s="17"/>
      <c r="B53" s="15" t="str">
        <f>IF(ISBLANK(A53), "", VLOOKUP(A53, Menu!$A$2:$D$18, 2, FALSE))</f>
        <v/>
      </c>
      <c r="C53" s="15" t="str">
        <f>IF(ISBLANK(A53), "", VLOOKUP(A53, Menu!$A$2:$D$18, 3, FALSE))</f>
        <v/>
      </c>
      <c r="D53" s="16" t="str">
        <f>IF(ISBLANK(A53), "", VLOOKUP(A53, Menu!$A$2:$D$18, 4, FALSE))</f>
        <v/>
      </c>
      <c r="E53" s="17"/>
      <c r="F53" s="16" t="str">
        <f t="shared" si="0"/>
        <v/>
      </c>
    </row>
    <row r="54" spans="1:6" x14ac:dyDescent="0.25">
      <c r="A54" s="17"/>
      <c r="B54" s="15" t="str">
        <f>IF(ISBLANK(A54), "", VLOOKUP(A54, Menu!$A$2:$D$18, 2, FALSE))</f>
        <v/>
      </c>
      <c r="C54" s="15" t="str">
        <f>IF(ISBLANK(A54), "", VLOOKUP(A54, Menu!$A$2:$D$18, 3, FALSE))</f>
        <v/>
      </c>
      <c r="D54" s="16" t="str">
        <f>IF(ISBLANK(A54), "", VLOOKUP(A54, Menu!$A$2:$D$18, 4, FALSE))</f>
        <v/>
      </c>
      <c r="E54" s="17"/>
      <c r="F54" s="16" t="str">
        <f t="shared" si="0"/>
        <v/>
      </c>
    </row>
    <row r="55" spans="1:6" x14ac:dyDescent="0.25">
      <c r="A55" s="17"/>
      <c r="B55" s="15" t="str">
        <f>IF(ISBLANK(A55), "", VLOOKUP(A55, Menu!$A$2:$D$18, 2, FALSE))</f>
        <v/>
      </c>
      <c r="C55" s="15" t="str">
        <f>IF(ISBLANK(A55), "", VLOOKUP(A55, Menu!$A$2:$D$18, 3, FALSE))</f>
        <v/>
      </c>
      <c r="D55" s="16" t="str">
        <f>IF(ISBLANK(A55), "", VLOOKUP(A55, Menu!$A$2:$D$18, 4, FALSE))</f>
        <v/>
      </c>
      <c r="E55" s="17"/>
      <c r="F55" s="16" t="str">
        <f t="shared" si="0"/>
        <v/>
      </c>
    </row>
    <row r="56" spans="1:6" x14ac:dyDescent="0.25">
      <c r="A56" s="17"/>
      <c r="B56" s="15" t="str">
        <f>IF(ISBLANK(A56), "", VLOOKUP(A56, Menu!$A$2:$D$18, 2, FALSE))</f>
        <v/>
      </c>
      <c r="C56" s="15" t="str">
        <f>IF(ISBLANK(A56), "", VLOOKUP(A56, Menu!$A$2:$D$18, 3, FALSE))</f>
        <v/>
      </c>
      <c r="D56" s="16" t="str">
        <f>IF(ISBLANK(A56), "", VLOOKUP(A56, Menu!$A$2:$D$18, 4, FALSE))</f>
        <v/>
      </c>
      <c r="E56" s="17"/>
      <c r="F56" s="16" t="str">
        <f t="shared" si="0"/>
        <v/>
      </c>
    </row>
    <row r="57" spans="1:6" x14ac:dyDescent="0.25">
      <c r="A57" s="17"/>
      <c r="B57" s="15" t="str">
        <f>IF(ISBLANK(A57), "", VLOOKUP(A57, Menu!$A$2:$D$18, 2, FALSE))</f>
        <v/>
      </c>
      <c r="C57" s="15" t="str">
        <f>IF(ISBLANK(A57), "", VLOOKUP(A57, Menu!$A$2:$D$18, 3, FALSE))</f>
        <v/>
      </c>
      <c r="D57" s="16" t="str">
        <f>IF(ISBLANK(A57), "", VLOOKUP(A57, Menu!$A$2:$D$18, 4, FALSE))</f>
        <v/>
      </c>
      <c r="E57" s="17"/>
      <c r="F57" s="16" t="str">
        <f t="shared" si="0"/>
        <v/>
      </c>
    </row>
    <row r="58" spans="1:6" x14ac:dyDescent="0.25">
      <c r="A58" s="17"/>
      <c r="B58" s="15" t="str">
        <f>IF(ISBLANK(A58), "", VLOOKUP(A58, Menu!$A$2:$D$18, 2, FALSE))</f>
        <v/>
      </c>
      <c r="C58" s="15" t="str">
        <f>IF(ISBLANK(A58), "", VLOOKUP(A58, Menu!$A$2:$D$18, 3, FALSE))</f>
        <v/>
      </c>
      <c r="D58" s="16" t="str">
        <f>IF(ISBLANK(A58), "", VLOOKUP(A58, Menu!$A$2:$D$18, 4, FALSE))</f>
        <v/>
      </c>
      <c r="E58" s="17"/>
      <c r="F58" s="16" t="str">
        <f t="shared" si="0"/>
        <v/>
      </c>
    </row>
    <row r="59" spans="1:6" x14ac:dyDescent="0.25">
      <c r="A59" s="17"/>
      <c r="B59" s="15" t="str">
        <f>IF(ISBLANK(A59), "", VLOOKUP(A59, Menu!$A$2:$D$18, 2, FALSE))</f>
        <v/>
      </c>
      <c r="C59" s="15" t="str">
        <f>IF(ISBLANK(A59), "", VLOOKUP(A59, Menu!$A$2:$D$18, 3, FALSE))</f>
        <v/>
      </c>
      <c r="D59" s="16" t="str">
        <f>IF(ISBLANK(A59), "", VLOOKUP(A59, Menu!$A$2:$D$18, 4, FALSE))</f>
        <v/>
      </c>
      <c r="E59" s="17"/>
      <c r="F59" s="16" t="str">
        <f t="shared" si="0"/>
        <v/>
      </c>
    </row>
    <row r="60" spans="1:6" x14ac:dyDescent="0.25">
      <c r="A60" s="17"/>
      <c r="B60" s="15" t="str">
        <f>IF(ISBLANK(A60), "", VLOOKUP(A60, Menu!$A$2:$D$18, 2, FALSE))</f>
        <v/>
      </c>
      <c r="C60" s="15" t="str">
        <f>IF(ISBLANK(A60), "", VLOOKUP(A60, Menu!$A$2:$D$18, 3, FALSE))</f>
        <v/>
      </c>
      <c r="D60" s="16" t="str">
        <f>IF(ISBLANK(A60), "", VLOOKUP(A60, Menu!$A$2:$D$18, 4, FALSE))</f>
        <v/>
      </c>
      <c r="E60" s="17"/>
      <c r="F60" s="16" t="str">
        <f t="shared" si="0"/>
        <v/>
      </c>
    </row>
    <row r="61" spans="1:6" x14ac:dyDescent="0.25">
      <c r="A61" s="17"/>
      <c r="B61" s="15" t="str">
        <f>IF(ISBLANK(A61), "", VLOOKUP(A61, Menu!$A$2:$D$18, 2, FALSE))</f>
        <v/>
      </c>
      <c r="C61" s="15" t="str">
        <f>IF(ISBLANK(A61), "", VLOOKUP(A61, Menu!$A$2:$D$18, 3, FALSE))</f>
        <v/>
      </c>
      <c r="D61" s="16" t="str">
        <f>IF(ISBLANK(A61), "", VLOOKUP(A61, Menu!$A$2:$D$18, 4, FALSE))</f>
        <v/>
      </c>
      <c r="E61" s="17"/>
      <c r="F61" s="16" t="str">
        <f t="shared" si="0"/>
        <v/>
      </c>
    </row>
    <row r="62" spans="1:6" x14ac:dyDescent="0.25">
      <c r="A62" s="17"/>
      <c r="B62" s="15" t="str">
        <f>IF(ISBLANK(A62), "", VLOOKUP(A62, Menu!$A$2:$D$18, 2, FALSE))</f>
        <v/>
      </c>
      <c r="C62" s="15" t="str">
        <f>IF(ISBLANK(A62), "", VLOOKUP(A62, Menu!$A$2:$D$18, 3, FALSE))</f>
        <v/>
      </c>
      <c r="D62" s="16" t="str">
        <f>IF(ISBLANK(A62), "", VLOOKUP(A62, Menu!$A$2:$D$18, 4, FALSE))</f>
        <v/>
      </c>
      <c r="E62" s="17"/>
      <c r="F62" s="16" t="str">
        <f t="shared" si="0"/>
        <v/>
      </c>
    </row>
    <row r="63" spans="1:6" x14ac:dyDescent="0.25">
      <c r="A63" s="17"/>
      <c r="B63" s="15" t="str">
        <f>IF(ISBLANK(A63), "", VLOOKUP(A63, Menu!$A$2:$D$18, 2, FALSE))</f>
        <v/>
      </c>
      <c r="C63" s="15" t="str">
        <f>IF(ISBLANK(A63), "", VLOOKUP(A63, Menu!$A$2:$D$18, 3, FALSE))</f>
        <v/>
      </c>
      <c r="D63" s="16" t="str">
        <f>IF(ISBLANK(A63), "", VLOOKUP(A63, Menu!$A$2:$D$18, 4, FALSE))</f>
        <v/>
      </c>
      <c r="E63" s="17"/>
      <c r="F63" s="16" t="str">
        <f t="shared" si="0"/>
        <v/>
      </c>
    </row>
    <row r="64" spans="1:6" x14ac:dyDescent="0.25">
      <c r="A64" s="17"/>
      <c r="B64" s="15" t="str">
        <f>IF(ISBLANK(A64), "", VLOOKUP(A64, Menu!$A$2:$D$18, 2, FALSE))</f>
        <v/>
      </c>
      <c r="C64" s="15" t="str">
        <f>IF(ISBLANK(A64), "", VLOOKUP(A64, Menu!$A$2:$D$18, 3, FALSE))</f>
        <v/>
      </c>
      <c r="D64" s="16" t="str">
        <f>IF(ISBLANK(A64), "", VLOOKUP(A64, Menu!$A$2:$D$18, 4, FALSE))</f>
        <v/>
      </c>
      <c r="E64" s="17"/>
      <c r="F64" s="16" t="str">
        <f t="shared" si="0"/>
        <v/>
      </c>
    </row>
    <row r="65" spans="1:6" x14ac:dyDescent="0.25">
      <c r="A65" s="17"/>
      <c r="B65" s="15" t="str">
        <f>IF(ISBLANK(A65), "", VLOOKUP(A65, Menu!$A$2:$D$18, 2, FALSE))</f>
        <v/>
      </c>
      <c r="C65" s="15" t="str">
        <f>IF(ISBLANK(A65), "", VLOOKUP(A65, Menu!$A$2:$D$18, 3, FALSE))</f>
        <v/>
      </c>
      <c r="D65" s="16" t="str">
        <f>IF(ISBLANK(A65), "", VLOOKUP(A65, Menu!$A$2:$D$18, 4, FALSE))</f>
        <v/>
      </c>
      <c r="E65" s="17"/>
      <c r="F65" s="16" t="str">
        <f t="shared" si="0"/>
        <v/>
      </c>
    </row>
    <row r="66" spans="1:6" x14ac:dyDescent="0.25">
      <c r="A66" s="17"/>
      <c r="B66" s="15" t="str">
        <f>IF(ISBLANK(A66), "", VLOOKUP(A66, Menu!$A$2:$D$18, 2, FALSE))</f>
        <v/>
      </c>
      <c r="C66" s="15" t="str">
        <f>IF(ISBLANK(A66), "", VLOOKUP(A66, Menu!$A$2:$D$18, 3, FALSE))</f>
        <v/>
      </c>
      <c r="D66" s="16" t="str">
        <f>IF(ISBLANK(A66), "", VLOOKUP(A66, Menu!$A$2:$D$18, 4, FALSE))</f>
        <v/>
      </c>
      <c r="E66" s="17"/>
      <c r="F66" s="16" t="str">
        <f t="shared" si="0"/>
        <v/>
      </c>
    </row>
    <row r="67" spans="1:6" x14ac:dyDescent="0.25">
      <c r="A67" s="17"/>
      <c r="B67" s="15" t="str">
        <f>IF(ISBLANK(A67), "", VLOOKUP(A67, Menu!$A$2:$D$18, 2, FALSE))</f>
        <v/>
      </c>
      <c r="C67" s="15" t="str">
        <f>IF(ISBLANK(A67), "", VLOOKUP(A67, Menu!$A$2:$D$18, 3, FALSE))</f>
        <v/>
      </c>
      <c r="D67" s="16" t="str">
        <f>IF(ISBLANK(A67), "", VLOOKUP(A67, Menu!$A$2:$D$18, 4, FALSE))</f>
        <v/>
      </c>
      <c r="E67" s="17"/>
      <c r="F67" s="16" t="str">
        <f t="shared" si="0"/>
        <v/>
      </c>
    </row>
    <row r="68" spans="1:6" x14ac:dyDescent="0.25">
      <c r="A68" s="17"/>
      <c r="B68" s="15" t="str">
        <f>IF(ISBLANK(A68), "", VLOOKUP(A68, Menu!$A$2:$D$18, 2, FALSE))</f>
        <v/>
      </c>
      <c r="C68" s="15" t="str">
        <f>IF(ISBLANK(A68), "", VLOOKUP(A68, Menu!$A$2:$D$18, 3, FALSE))</f>
        <v/>
      </c>
      <c r="D68" s="16" t="str">
        <f>IF(ISBLANK(A68), "", VLOOKUP(A68, Menu!$A$2:$D$18, 4, FALSE))</f>
        <v/>
      </c>
      <c r="E68" s="17"/>
      <c r="F68" s="16" t="str">
        <f t="shared" si="0"/>
        <v/>
      </c>
    </row>
    <row r="69" spans="1:6" x14ac:dyDescent="0.25">
      <c r="A69" s="17"/>
      <c r="B69" s="15" t="str">
        <f>IF(ISBLANK(A69), "", VLOOKUP(A69, Menu!$A$2:$D$18, 2, FALSE))</f>
        <v/>
      </c>
      <c r="C69" s="15" t="str">
        <f>IF(ISBLANK(A69), "", VLOOKUP(A69, Menu!$A$2:$D$18, 3, FALSE))</f>
        <v/>
      </c>
      <c r="D69" s="16" t="str">
        <f>IF(ISBLANK(A69), "", VLOOKUP(A69, Menu!$A$2:$D$18, 4, FALSE))</f>
        <v/>
      </c>
      <c r="E69" s="17"/>
      <c r="F69" s="16" t="str">
        <f t="shared" si="0"/>
        <v/>
      </c>
    </row>
    <row r="70" spans="1:6" x14ac:dyDescent="0.25">
      <c r="A70" s="17"/>
      <c r="B70" s="15" t="str">
        <f>IF(ISBLANK(A70), "", VLOOKUP(A70, Menu!$A$2:$D$18, 2, FALSE))</f>
        <v/>
      </c>
      <c r="C70" s="15" t="str">
        <f>IF(ISBLANK(A70), "", VLOOKUP(A70, Menu!$A$2:$D$18, 3, FALSE))</f>
        <v/>
      </c>
      <c r="D70" s="16" t="str">
        <f>IF(ISBLANK(A70), "", VLOOKUP(A70, Menu!$A$2:$D$18, 4, FALSE))</f>
        <v/>
      </c>
      <c r="E70" s="17"/>
      <c r="F70" s="16" t="str">
        <f t="shared" si="0"/>
        <v/>
      </c>
    </row>
    <row r="71" spans="1:6" x14ac:dyDescent="0.25">
      <c r="A71" s="17"/>
      <c r="B71" s="15" t="str">
        <f>IF(ISBLANK(A71), "", VLOOKUP(A71, Menu!$A$2:$D$18, 2, FALSE))</f>
        <v/>
      </c>
      <c r="C71" s="15" t="str">
        <f>IF(ISBLANK(A71), "", VLOOKUP(A71, Menu!$A$2:$D$18, 3, FALSE))</f>
        <v/>
      </c>
      <c r="D71" s="16" t="str">
        <f>IF(ISBLANK(A71), "", VLOOKUP(A71, Menu!$A$2:$D$18, 4, FALSE))</f>
        <v/>
      </c>
      <c r="E71" s="17"/>
      <c r="F71" s="16" t="str">
        <f t="shared" si="0"/>
        <v/>
      </c>
    </row>
    <row r="72" spans="1:6" x14ac:dyDescent="0.25">
      <c r="A72" s="17"/>
      <c r="B72" s="15" t="str">
        <f>IF(ISBLANK(A72), "", VLOOKUP(A72, Menu!$A$2:$D$18, 2, FALSE))</f>
        <v/>
      </c>
      <c r="C72" s="15" t="str">
        <f>IF(ISBLANK(A72), "", VLOOKUP(A72, Menu!$A$2:$D$18, 3, FALSE))</f>
        <v/>
      </c>
      <c r="D72" s="16" t="str">
        <f>IF(ISBLANK(A72), "", VLOOKUP(A72, Menu!$A$2:$D$18, 4, FALSE))</f>
        <v/>
      </c>
      <c r="E72" s="17"/>
      <c r="F72" s="16" t="str">
        <f t="shared" si="0"/>
        <v/>
      </c>
    </row>
    <row r="73" spans="1:6" x14ac:dyDescent="0.25">
      <c r="A73" s="17"/>
      <c r="B73" s="15" t="str">
        <f>IF(ISBLANK(A73), "", VLOOKUP(A73, Menu!$A$2:$D$18, 2, FALSE))</f>
        <v/>
      </c>
      <c r="C73" s="15" t="str">
        <f>IF(ISBLANK(A73), "", VLOOKUP(A73, Menu!$A$2:$D$18, 3, FALSE))</f>
        <v/>
      </c>
      <c r="D73" s="16" t="str">
        <f>IF(ISBLANK(A73), "", VLOOKUP(A73, Menu!$A$2:$D$18, 4, FALSE))</f>
        <v/>
      </c>
      <c r="E73" s="17"/>
      <c r="F73" s="16" t="str">
        <f t="shared" ref="F73:F99" si="1">IF(ISBLANK(A73), "", D73*E73)</f>
        <v/>
      </c>
    </row>
    <row r="74" spans="1:6" x14ac:dyDescent="0.25">
      <c r="A74" s="17"/>
      <c r="B74" s="15" t="str">
        <f>IF(ISBLANK(A74), "", VLOOKUP(A74, Menu!$A$2:$D$18, 2, FALSE))</f>
        <v/>
      </c>
      <c r="C74" s="15" t="str">
        <f>IF(ISBLANK(A74), "", VLOOKUP(A74, Menu!$A$2:$D$18, 3, FALSE))</f>
        <v/>
      </c>
      <c r="D74" s="16" t="str">
        <f>IF(ISBLANK(A74), "", VLOOKUP(A74, Menu!$A$2:$D$18, 4, FALSE))</f>
        <v/>
      </c>
      <c r="E74" s="17"/>
      <c r="F74" s="16" t="str">
        <f t="shared" si="1"/>
        <v/>
      </c>
    </row>
    <row r="75" spans="1:6" x14ac:dyDescent="0.25">
      <c r="A75" s="17"/>
      <c r="B75" s="15" t="str">
        <f>IF(ISBLANK(A75), "", VLOOKUP(A75, Menu!$A$2:$D$18, 2, FALSE))</f>
        <v/>
      </c>
      <c r="C75" s="15" t="str">
        <f>IF(ISBLANK(A75), "", VLOOKUP(A75, Menu!$A$2:$D$18, 3, FALSE))</f>
        <v/>
      </c>
      <c r="D75" s="16" t="str">
        <f>IF(ISBLANK(A75), "", VLOOKUP(A75, Menu!$A$2:$D$18, 4, FALSE))</f>
        <v/>
      </c>
      <c r="E75" s="17"/>
      <c r="F75" s="16" t="str">
        <f t="shared" si="1"/>
        <v/>
      </c>
    </row>
    <row r="76" spans="1:6" x14ac:dyDescent="0.25">
      <c r="A76" s="17"/>
      <c r="B76" s="15" t="str">
        <f>IF(ISBLANK(A76), "", VLOOKUP(A76, Menu!$A$2:$D$18, 2, FALSE))</f>
        <v/>
      </c>
      <c r="C76" s="15" t="str">
        <f>IF(ISBLANK(A76), "", VLOOKUP(A76, Menu!$A$2:$D$18, 3, FALSE))</f>
        <v/>
      </c>
      <c r="D76" s="16" t="str">
        <f>IF(ISBLANK(A76), "", VLOOKUP(A76, Menu!$A$2:$D$18, 4, FALSE))</f>
        <v/>
      </c>
      <c r="E76" s="17"/>
      <c r="F76" s="16" t="str">
        <f t="shared" si="1"/>
        <v/>
      </c>
    </row>
    <row r="77" spans="1:6" x14ac:dyDescent="0.25">
      <c r="A77" s="17"/>
      <c r="B77" s="15" t="str">
        <f>IF(ISBLANK(A77), "", VLOOKUP(A77, Menu!$A$2:$D$18, 2, FALSE))</f>
        <v/>
      </c>
      <c r="C77" s="15" t="str">
        <f>IF(ISBLANK(A77), "", VLOOKUP(A77, Menu!$A$2:$D$18, 3, FALSE))</f>
        <v/>
      </c>
      <c r="D77" s="16" t="str">
        <f>IF(ISBLANK(A77), "", VLOOKUP(A77, Menu!$A$2:$D$18, 4, FALSE))</f>
        <v/>
      </c>
      <c r="E77" s="17"/>
      <c r="F77" s="16" t="str">
        <f t="shared" si="1"/>
        <v/>
      </c>
    </row>
    <row r="78" spans="1:6" x14ac:dyDescent="0.25">
      <c r="A78" s="17"/>
      <c r="B78" s="15" t="str">
        <f>IF(ISBLANK(A78), "", VLOOKUP(A78, Menu!$A$2:$D$18, 2, FALSE))</f>
        <v/>
      </c>
      <c r="C78" s="15" t="str">
        <f>IF(ISBLANK(A78), "", VLOOKUP(A78, Menu!$A$2:$D$18, 3, FALSE))</f>
        <v/>
      </c>
      <c r="D78" s="16" t="str">
        <f>IF(ISBLANK(A78), "", VLOOKUP(A78, Menu!$A$2:$D$18, 4, FALSE))</f>
        <v/>
      </c>
      <c r="E78" s="17"/>
      <c r="F78" s="16" t="str">
        <f t="shared" si="1"/>
        <v/>
      </c>
    </row>
    <row r="79" spans="1:6" x14ac:dyDescent="0.25">
      <c r="A79" s="17"/>
      <c r="B79" s="15" t="str">
        <f>IF(ISBLANK(A79), "", VLOOKUP(A79, Menu!$A$2:$D$18, 2, FALSE))</f>
        <v/>
      </c>
      <c r="C79" s="15" t="str">
        <f>IF(ISBLANK(A79), "", VLOOKUP(A79, Menu!$A$2:$D$18, 3, FALSE))</f>
        <v/>
      </c>
      <c r="D79" s="16" t="str">
        <f>IF(ISBLANK(A79), "", VLOOKUP(A79, Menu!$A$2:$D$18, 4, FALSE))</f>
        <v/>
      </c>
      <c r="E79" s="17"/>
      <c r="F79" s="16" t="str">
        <f t="shared" si="1"/>
        <v/>
      </c>
    </row>
    <row r="80" spans="1:6" x14ac:dyDescent="0.25">
      <c r="A80" s="17"/>
      <c r="B80" s="15" t="str">
        <f>IF(ISBLANK(A80), "", VLOOKUP(A80, Menu!$A$2:$D$18, 2, FALSE))</f>
        <v/>
      </c>
      <c r="C80" s="15" t="str">
        <f>IF(ISBLANK(A80), "", VLOOKUP(A80, Menu!$A$2:$D$18, 3, FALSE))</f>
        <v/>
      </c>
      <c r="D80" s="16" t="str">
        <f>IF(ISBLANK(A80), "", VLOOKUP(A80, Menu!$A$2:$D$18, 4, FALSE))</f>
        <v/>
      </c>
      <c r="E80" s="17"/>
      <c r="F80" s="16" t="str">
        <f t="shared" si="1"/>
        <v/>
      </c>
    </row>
    <row r="81" spans="1:6" x14ac:dyDescent="0.25">
      <c r="A81" s="17"/>
      <c r="B81" s="15" t="str">
        <f>IF(ISBLANK(A81), "", VLOOKUP(A81, Menu!$A$2:$D$18, 2, FALSE))</f>
        <v/>
      </c>
      <c r="C81" s="15" t="str">
        <f>IF(ISBLANK(A81), "", VLOOKUP(A81, Menu!$A$2:$D$18, 3, FALSE))</f>
        <v/>
      </c>
      <c r="D81" s="16" t="str">
        <f>IF(ISBLANK(A81), "", VLOOKUP(A81, Menu!$A$2:$D$18, 4, FALSE))</f>
        <v/>
      </c>
      <c r="E81" s="17"/>
      <c r="F81" s="16" t="str">
        <f t="shared" si="1"/>
        <v/>
      </c>
    </row>
    <row r="82" spans="1:6" x14ac:dyDescent="0.25">
      <c r="A82" s="17"/>
      <c r="B82" s="15" t="str">
        <f>IF(ISBLANK(A82), "", VLOOKUP(A82, Menu!$A$2:$D$18, 2, FALSE))</f>
        <v/>
      </c>
      <c r="C82" s="15" t="str">
        <f>IF(ISBLANK(A82), "", VLOOKUP(A82, Menu!$A$2:$D$18, 3, FALSE))</f>
        <v/>
      </c>
      <c r="D82" s="16" t="str">
        <f>IF(ISBLANK(A82), "", VLOOKUP(A82, Menu!$A$2:$D$18, 4, FALSE))</f>
        <v/>
      </c>
      <c r="E82" s="17"/>
      <c r="F82" s="16" t="str">
        <f t="shared" si="1"/>
        <v/>
      </c>
    </row>
    <row r="83" spans="1:6" x14ac:dyDescent="0.25">
      <c r="A83" s="17"/>
      <c r="B83" s="15" t="str">
        <f>IF(ISBLANK(A83), "", VLOOKUP(A83, Menu!$A$2:$D$18, 2, FALSE))</f>
        <v/>
      </c>
      <c r="C83" s="15" t="str">
        <f>IF(ISBLANK(A83), "", VLOOKUP(A83, Menu!$A$2:$D$18, 3, FALSE))</f>
        <v/>
      </c>
      <c r="D83" s="16" t="str">
        <f>IF(ISBLANK(A83), "", VLOOKUP(A83, Menu!$A$2:$D$18, 4, FALSE))</f>
        <v/>
      </c>
      <c r="E83" s="17"/>
      <c r="F83" s="16" t="str">
        <f t="shared" si="1"/>
        <v/>
      </c>
    </row>
    <row r="84" spans="1:6" x14ac:dyDescent="0.25">
      <c r="A84" s="17"/>
      <c r="B84" s="15" t="str">
        <f>IF(ISBLANK(A84), "", VLOOKUP(A84, Menu!$A$2:$D$18, 2, FALSE))</f>
        <v/>
      </c>
      <c r="C84" s="15" t="str">
        <f>IF(ISBLANK(A84), "", VLOOKUP(A84, Menu!$A$2:$D$18, 3, FALSE))</f>
        <v/>
      </c>
      <c r="D84" s="16" t="str">
        <f>IF(ISBLANK(A84), "", VLOOKUP(A84, Menu!$A$2:$D$18, 4, FALSE))</f>
        <v/>
      </c>
      <c r="E84" s="17"/>
      <c r="F84" s="16" t="str">
        <f t="shared" si="1"/>
        <v/>
      </c>
    </row>
    <row r="85" spans="1:6" x14ac:dyDescent="0.25">
      <c r="A85" s="17"/>
      <c r="B85" s="15" t="str">
        <f>IF(ISBLANK(A85), "", VLOOKUP(A85, Menu!$A$2:$D$18, 2, FALSE))</f>
        <v/>
      </c>
      <c r="C85" s="15" t="str">
        <f>IF(ISBLANK(A85), "", VLOOKUP(A85, Menu!$A$2:$D$18, 3, FALSE))</f>
        <v/>
      </c>
      <c r="D85" s="16" t="str">
        <f>IF(ISBLANK(A85), "", VLOOKUP(A85, Menu!$A$2:$D$18, 4, FALSE))</f>
        <v/>
      </c>
      <c r="E85" s="17"/>
      <c r="F85" s="16" t="str">
        <f t="shared" si="1"/>
        <v/>
      </c>
    </row>
    <row r="86" spans="1:6" x14ac:dyDescent="0.25">
      <c r="A86" s="17"/>
      <c r="B86" s="15" t="str">
        <f>IF(ISBLANK(A86), "", VLOOKUP(A86, Menu!$A$2:$D$18, 2, FALSE))</f>
        <v/>
      </c>
      <c r="C86" s="15" t="str">
        <f>IF(ISBLANK(A86), "", VLOOKUP(A86, Menu!$A$2:$D$18, 3, FALSE))</f>
        <v/>
      </c>
      <c r="D86" s="16" t="str">
        <f>IF(ISBLANK(A86), "", VLOOKUP(A86, Menu!$A$2:$D$18, 4, FALSE))</f>
        <v/>
      </c>
      <c r="E86" s="17"/>
      <c r="F86" s="16" t="str">
        <f t="shared" si="1"/>
        <v/>
      </c>
    </row>
    <row r="87" spans="1:6" x14ac:dyDescent="0.25">
      <c r="A87" s="17"/>
      <c r="B87" s="15" t="str">
        <f>IF(ISBLANK(A87), "", VLOOKUP(A87, Menu!$A$2:$D$18, 2, FALSE))</f>
        <v/>
      </c>
      <c r="C87" s="15" t="str">
        <f>IF(ISBLANK(A87), "", VLOOKUP(A87, Menu!$A$2:$D$18, 3, FALSE))</f>
        <v/>
      </c>
      <c r="D87" s="16" t="str">
        <f>IF(ISBLANK(A87), "", VLOOKUP(A87, Menu!$A$2:$D$18, 4, FALSE))</f>
        <v/>
      </c>
      <c r="E87" s="17"/>
      <c r="F87" s="16" t="str">
        <f t="shared" si="1"/>
        <v/>
      </c>
    </row>
    <row r="88" spans="1:6" x14ac:dyDescent="0.25">
      <c r="A88" s="17"/>
      <c r="B88" s="15" t="str">
        <f>IF(ISBLANK(A88), "", VLOOKUP(A88, Menu!$A$2:$D$18, 2, FALSE))</f>
        <v/>
      </c>
      <c r="C88" s="15" t="str">
        <f>IF(ISBLANK(A88), "", VLOOKUP(A88, Menu!$A$2:$D$18, 3, FALSE))</f>
        <v/>
      </c>
      <c r="D88" s="16" t="str">
        <f>IF(ISBLANK(A88), "", VLOOKUP(A88, Menu!$A$2:$D$18, 4, FALSE))</f>
        <v/>
      </c>
      <c r="E88" s="17"/>
      <c r="F88" s="16" t="str">
        <f t="shared" si="1"/>
        <v/>
      </c>
    </row>
    <row r="89" spans="1:6" x14ac:dyDescent="0.25">
      <c r="A89" s="17"/>
      <c r="B89" s="15" t="str">
        <f>IF(ISBLANK(A89), "", VLOOKUP(A89, Menu!$A$2:$D$18, 2, FALSE))</f>
        <v/>
      </c>
      <c r="C89" s="15" t="str">
        <f>IF(ISBLANK(A89), "", VLOOKUP(A89, Menu!$A$2:$D$18, 3, FALSE))</f>
        <v/>
      </c>
      <c r="D89" s="16" t="str">
        <f>IF(ISBLANK(A89), "", VLOOKUP(A89, Menu!$A$2:$D$18, 4, FALSE))</f>
        <v/>
      </c>
      <c r="E89" s="17"/>
      <c r="F89" s="16" t="str">
        <f t="shared" si="1"/>
        <v/>
      </c>
    </row>
    <row r="90" spans="1:6" x14ac:dyDescent="0.25">
      <c r="A90" s="17"/>
      <c r="B90" s="15" t="str">
        <f>IF(ISBLANK(A90), "", VLOOKUP(A90, Menu!$A$2:$D$18, 2, FALSE))</f>
        <v/>
      </c>
      <c r="C90" s="15" t="str">
        <f>IF(ISBLANK(A90), "", VLOOKUP(A90, Menu!$A$2:$D$18, 3, FALSE))</f>
        <v/>
      </c>
      <c r="D90" s="16" t="str">
        <f>IF(ISBLANK(A90), "", VLOOKUP(A90, Menu!$A$2:$D$18, 4, FALSE))</f>
        <v/>
      </c>
      <c r="E90" s="17"/>
      <c r="F90" s="16" t="str">
        <f t="shared" si="1"/>
        <v/>
      </c>
    </row>
    <row r="91" spans="1:6" x14ac:dyDescent="0.25">
      <c r="A91" s="17"/>
      <c r="B91" s="15" t="str">
        <f>IF(ISBLANK(A91), "", VLOOKUP(A91, Menu!$A$2:$D$18, 2, FALSE))</f>
        <v/>
      </c>
      <c r="C91" s="15" t="str">
        <f>IF(ISBLANK(A91), "", VLOOKUP(A91, Menu!$A$2:$D$18, 3, FALSE))</f>
        <v/>
      </c>
      <c r="D91" s="16" t="str">
        <f>IF(ISBLANK(A91), "", VLOOKUP(A91, Menu!$A$2:$D$18, 4, FALSE))</f>
        <v/>
      </c>
      <c r="E91" s="17"/>
      <c r="F91" s="16" t="str">
        <f t="shared" si="1"/>
        <v/>
      </c>
    </row>
    <row r="92" spans="1:6" x14ac:dyDescent="0.25">
      <c r="A92" s="17"/>
      <c r="B92" s="15" t="str">
        <f>IF(ISBLANK(A92), "", VLOOKUP(A92, Menu!$A$2:$D$18, 2, FALSE))</f>
        <v/>
      </c>
      <c r="C92" s="15" t="str">
        <f>IF(ISBLANK(A92), "", VLOOKUP(A92, Menu!$A$2:$D$18, 3, FALSE))</f>
        <v/>
      </c>
      <c r="D92" s="16" t="str">
        <f>IF(ISBLANK(A92), "", VLOOKUP(A92, Menu!$A$2:$D$18, 4, FALSE))</f>
        <v/>
      </c>
      <c r="E92" s="17"/>
      <c r="F92" s="16" t="str">
        <f t="shared" si="1"/>
        <v/>
      </c>
    </row>
    <row r="93" spans="1:6" x14ac:dyDescent="0.25">
      <c r="A93" s="17"/>
      <c r="B93" s="15" t="str">
        <f>IF(ISBLANK(A93), "", VLOOKUP(A93, Menu!$A$2:$D$18, 2, FALSE))</f>
        <v/>
      </c>
      <c r="C93" s="15" t="str">
        <f>IF(ISBLANK(A93), "", VLOOKUP(A93, Menu!$A$2:$D$18, 3, FALSE))</f>
        <v/>
      </c>
      <c r="D93" s="16" t="str">
        <f>IF(ISBLANK(A93), "", VLOOKUP(A93, Menu!$A$2:$D$18, 4, FALSE))</f>
        <v/>
      </c>
      <c r="E93" s="17"/>
      <c r="F93" s="16" t="str">
        <f t="shared" si="1"/>
        <v/>
      </c>
    </row>
    <row r="94" spans="1:6" x14ac:dyDescent="0.25">
      <c r="A94" s="17"/>
      <c r="B94" s="15" t="str">
        <f>IF(ISBLANK(A94), "", VLOOKUP(A94, Menu!$A$2:$D$18, 2, FALSE))</f>
        <v/>
      </c>
      <c r="C94" s="15" t="str">
        <f>IF(ISBLANK(A94), "", VLOOKUP(A94, Menu!$A$2:$D$18, 3, FALSE))</f>
        <v/>
      </c>
      <c r="D94" s="16" t="str">
        <f>IF(ISBLANK(A94), "", VLOOKUP(A94, Menu!$A$2:$D$18, 4, FALSE))</f>
        <v/>
      </c>
      <c r="E94" s="17"/>
      <c r="F94" s="16" t="str">
        <f t="shared" si="1"/>
        <v/>
      </c>
    </row>
    <row r="95" spans="1:6" x14ac:dyDescent="0.25">
      <c r="A95" s="17"/>
      <c r="B95" s="15" t="str">
        <f>IF(ISBLANK(A95), "", VLOOKUP(A95, Menu!$A$2:$D$18, 2, FALSE))</f>
        <v/>
      </c>
      <c r="C95" s="15" t="str">
        <f>IF(ISBLANK(A95), "", VLOOKUP(A95, Menu!$A$2:$D$18, 3, FALSE))</f>
        <v/>
      </c>
      <c r="D95" s="16" t="str">
        <f>IF(ISBLANK(A95), "", VLOOKUP(A95, Menu!$A$2:$D$18, 4, FALSE))</f>
        <v/>
      </c>
      <c r="E95" s="17"/>
      <c r="F95" s="16" t="str">
        <f t="shared" si="1"/>
        <v/>
      </c>
    </row>
    <row r="96" spans="1:6" x14ac:dyDescent="0.25">
      <c r="A96" s="17"/>
      <c r="B96" s="15" t="str">
        <f>IF(ISBLANK(A96), "", VLOOKUP(A96, Menu!$A$2:$D$18, 2, FALSE))</f>
        <v/>
      </c>
      <c r="C96" s="15" t="str">
        <f>IF(ISBLANK(A96), "", VLOOKUP(A96, Menu!$A$2:$D$18, 3, FALSE))</f>
        <v/>
      </c>
      <c r="D96" s="16" t="str">
        <f>IF(ISBLANK(A96), "", VLOOKUP(A96, Menu!$A$2:$D$18, 4, FALSE))</f>
        <v/>
      </c>
      <c r="E96" s="17"/>
      <c r="F96" s="16" t="str">
        <f t="shared" si="1"/>
        <v/>
      </c>
    </row>
    <row r="97" spans="1:6" x14ac:dyDescent="0.25">
      <c r="A97" s="17"/>
      <c r="B97" s="15" t="str">
        <f>IF(ISBLANK(A97), "", VLOOKUP(A97, Menu!$A$2:$D$18, 2, FALSE))</f>
        <v/>
      </c>
      <c r="C97" s="15" t="str">
        <f>IF(ISBLANK(A97), "", VLOOKUP(A97, Menu!$A$2:$D$18, 3, FALSE))</f>
        <v/>
      </c>
      <c r="D97" s="16" t="str">
        <f>IF(ISBLANK(A97), "", VLOOKUP(A97, Menu!$A$2:$D$18, 4, FALSE))</f>
        <v/>
      </c>
      <c r="E97" s="17"/>
      <c r="F97" s="16" t="str">
        <f t="shared" si="1"/>
        <v/>
      </c>
    </row>
    <row r="98" spans="1:6" x14ac:dyDescent="0.25">
      <c r="A98" s="17"/>
      <c r="B98" s="15" t="str">
        <f>IF(ISBLANK(A98), "", VLOOKUP(A98, Menu!$A$2:$D$18, 2, FALSE))</f>
        <v/>
      </c>
      <c r="C98" s="15" t="str">
        <f>IF(ISBLANK(A98), "", VLOOKUP(A98, Menu!$A$2:$D$18, 3, FALSE))</f>
        <v/>
      </c>
      <c r="D98" s="16" t="str">
        <f>IF(ISBLANK(A98), "", VLOOKUP(A98, Menu!$A$2:$D$18, 4, FALSE))</f>
        <v/>
      </c>
      <c r="E98" s="17"/>
      <c r="F98" s="16" t="str">
        <f t="shared" si="1"/>
        <v/>
      </c>
    </row>
    <row r="99" spans="1:6" x14ac:dyDescent="0.25">
      <c r="A99" s="17"/>
      <c r="B99" s="15" t="str">
        <f>IF(ISBLANK(A99), "", VLOOKUP(A99, Menu!$A$2:$D$18, 2, FALSE))</f>
        <v/>
      </c>
      <c r="C99" s="15" t="str">
        <f>IF(ISBLANK(A99), "", VLOOKUP(A99, Menu!$A$2:$D$18, 3, FALSE))</f>
        <v/>
      </c>
      <c r="D99" s="16" t="str">
        <f>IF(ISBLANK(A99), "", VLOOKUP(A99, Menu!$A$2:$D$18, 4, FALSE))</f>
        <v/>
      </c>
      <c r="E99" s="17"/>
      <c r="F99" s="16" t="str">
        <f t="shared" si="1"/>
        <v/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17007-98DF-4C2D-B059-A9843A07E725}">
  <sheetPr codeName="Sheet9"/>
  <dimension ref="A1:F99"/>
  <sheetViews>
    <sheetView tabSelected="1" workbookViewId="0">
      <selection activeCell="A9" sqref="A9"/>
    </sheetView>
  </sheetViews>
  <sheetFormatPr defaultRowHeight="15" x14ac:dyDescent="0.25"/>
  <cols>
    <col min="1" max="1" width="60.140625" style="13" bestFit="1" customWidth="1"/>
    <col min="2" max="2" width="46" style="13" bestFit="1" customWidth="1"/>
    <col min="3" max="3" width="39.140625" style="13" customWidth="1"/>
    <col min="4" max="4" width="11" style="13" bestFit="1" customWidth="1"/>
    <col min="5" max="5" width="19" style="13" customWidth="1"/>
    <col min="6" max="6" width="36" style="13" customWidth="1"/>
  </cols>
  <sheetData>
    <row r="1" spans="1:6" ht="20.25" x14ac:dyDescent="0.3">
      <c r="A1" s="1" t="s">
        <v>0</v>
      </c>
      <c r="B1" s="6" t="s">
        <v>14</v>
      </c>
      <c r="C1" s="7">
        <f>SUM(F8:F99)</f>
        <v>0</v>
      </c>
      <c r="F1"/>
    </row>
    <row r="2" spans="1:6" ht="15.75" thickBot="1" x14ac:dyDescent="0.3">
      <c r="A2" s="2" t="s">
        <v>27</v>
      </c>
      <c r="B2" s="6" t="s">
        <v>15</v>
      </c>
      <c r="C2" s="8">
        <v>0</v>
      </c>
      <c r="F2"/>
    </row>
    <row r="3" spans="1:6" ht="15.75" thickBot="1" x14ac:dyDescent="0.3">
      <c r="B3" s="6" t="s">
        <v>16</v>
      </c>
      <c r="C3" s="9">
        <f>C1+C2</f>
        <v>0</v>
      </c>
    </row>
    <row r="4" spans="1:6" x14ac:dyDescent="0.25">
      <c r="A4" s="3" t="s">
        <v>2</v>
      </c>
      <c r="B4" s="18" t="s">
        <v>28</v>
      </c>
      <c r="D4" s="3" t="s">
        <v>4</v>
      </c>
      <c r="E4" s="14">
        <f ca="1">TODAY()</f>
        <v>46316</v>
      </c>
    </row>
    <row r="5" spans="1:6" x14ac:dyDescent="0.25">
      <c r="A5" s="3" t="s">
        <v>5</v>
      </c>
      <c r="B5" s="18">
        <v>6</v>
      </c>
      <c r="D5" s="3" t="s">
        <v>6</v>
      </c>
      <c r="E5" s="4" t="s">
        <v>29</v>
      </c>
    </row>
    <row r="6" spans="1:6" ht="15.75" thickBot="1" x14ac:dyDescent="0.3"/>
    <row r="7" spans="1:6" ht="15.75" thickBot="1" x14ac:dyDescent="0.3">
      <c r="A7" s="5" t="s">
        <v>8</v>
      </c>
      <c r="B7" s="5" t="s">
        <v>9</v>
      </c>
      <c r="C7" s="5" t="s">
        <v>10</v>
      </c>
      <c r="D7" s="5" t="s">
        <v>11</v>
      </c>
      <c r="E7" s="5" t="s">
        <v>12</v>
      </c>
      <c r="F7" s="5" t="s">
        <v>13</v>
      </c>
    </row>
    <row r="8" spans="1:6" x14ac:dyDescent="0.25">
      <c r="A8" s="17"/>
      <c r="B8" s="15" t="str">
        <f>IF(ISBLANK(A8), "", VLOOKUP(A8, Menu!$A$2:$D$18, 2, FALSE))</f>
        <v/>
      </c>
      <c r="C8" s="15" t="str">
        <f>IF(ISBLANK(A8), "", VLOOKUP(A8, Menu!$A$2:$D$18, 3, FALSE))</f>
        <v/>
      </c>
      <c r="D8" s="16" t="str">
        <f>IF(ISBLANK(A8), "", VLOOKUP(A8, Menu!$A$2:$D$18, 4, FALSE))</f>
        <v/>
      </c>
      <c r="E8" s="17"/>
      <c r="F8" s="16" t="str">
        <f>IF(ISBLANK(A8), "", D8*E8)</f>
        <v/>
      </c>
    </row>
    <row r="9" spans="1:6" x14ac:dyDescent="0.25">
      <c r="A9" s="17"/>
      <c r="B9" s="15" t="str">
        <f>IF(ISBLANK(A9), "", VLOOKUP(A9, Menu!$A$2:$D$18, 2, FALSE))</f>
        <v/>
      </c>
      <c r="C9" s="15" t="str">
        <f>IF(ISBLANK(A9), "", VLOOKUP(A9, Menu!$A$2:$D$18, 3, FALSE))</f>
        <v/>
      </c>
      <c r="D9" s="16" t="str">
        <f>IF(ISBLANK(A9), "", VLOOKUP(A9, Menu!$A$2:$D$18, 4, FALSE))</f>
        <v/>
      </c>
      <c r="E9" s="17"/>
      <c r="F9" s="16" t="str">
        <f t="shared" ref="F9:F72" si="0">IF(ISBLANK(A9), "", D9*E9)</f>
        <v/>
      </c>
    </row>
    <row r="10" spans="1:6" x14ac:dyDescent="0.25">
      <c r="A10" s="17"/>
      <c r="B10" s="15" t="str">
        <f>IF(ISBLANK(A10), "", VLOOKUP(A10, Menu!$A$2:$D$18, 2, FALSE))</f>
        <v/>
      </c>
      <c r="C10" s="15" t="str">
        <f>IF(ISBLANK(A10), "", VLOOKUP(A10, Menu!$A$2:$D$18, 3, FALSE))</f>
        <v/>
      </c>
      <c r="D10" s="16" t="str">
        <f>IF(ISBLANK(A10), "", VLOOKUP(A10, Menu!$A$2:$D$18, 4, FALSE))</f>
        <v/>
      </c>
      <c r="E10" s="17"/>
      <c r="F10" s="16" t="str">
        <f t="shared" si="0"/>
        <v/>
      </c>
    </row>
    <row r="11" spans="1:6" x14ac:dyDescent="0.25">
      <c r="A11" s="17"/>
      <c r="B11" s="15" t="str">
        <f>IF(ISBLANK(A11), "", VLOOKUP(A11, Menu!$A$2:$D$18, 2, FALSE))</f>
        <v/>
      </c>
      <c r="C11" s="15" t="str">
        <f>IF(ISBLANK(A11), "", VLOOKUP(A11, Menu!$A$2:$D$18, 3, FALSE))</f>
        <v/>
      </c>
      <c r="D11" s="16" t="str">
        <f>IF(ISBLANK(A11), "", VLOOKUP(A11, Menu!$A$2:$D$18, 4, FALSE))</f>
        <v/>
      </c>
      <c r="E11" s="17"/>
      <c r="F11" s="16" t="str">
        <f t="shared" si="0"/>
        <v/>
      </c>
    </row>
    <row r="12" spans="1:6" x14ac:dyDescent="0.25">
      <c r="A12" s="17"/>
      <c r="B12" s="15" t="str">
        <f>IF(ISBLANK(A12), "", VLOOKUP(A12, Menu!$A$2:$D$18, 2, FALSE))</f>
        <v/>
      </c>
      <c r="C12" s="15" t="str">
        <f>IF(ISBLANK(A12), "", VLOOKUP(A12, Menu!$A$2:$D$18, 3, FALSE))</f>
        <v/>
      </c>
      <c r="D12" s="16" t="str">
        <f>IF(ISBLANK(A12), "", VLOOKUP(A12, Menu!$A$2:$D$18, 4, FALSE))</f>
        <v/>
      </c>
      <c r="E12" s="17"/>
      <c r="F12" s="16" t="str">
        <f t="shared" si="0"/>
        <v/>
      </c>
    </row>
    <row r="13" spans="1:6" x14ac:dyDescent="0.25">
      <c r="A13" s="17"/>
      <c r="B13" s="15" t="str">
        <f>IF(ISBLANK(A13), "", VLOOKUP(A13, Menu!$A$2:$D$18, 2, FALSE))</f>
        <v/>
      </c>
      <c r="C13" s="15" t="str">
        <f>IF(ISBLANK(A13), "", VLOOKUP(A13, Menu!$A$2:$D$18, 3, FALSE))</f>
        <v/>
      </c>
      <c r="D13" s="16" t="str">
        <f>IF(ISBLANK(A13), "", VLOOKUP(A13, Menu!$A$2:$D$18, 4, FALSE))</f>
        <v/>
      </c>
      <c r="E13" s="17"/>
      <c r="F13" s="16" t="str">
        <f t="shared" si="0"/>
        <v/>
      </c>
    </row>
    <row r="14" spans="1:6" x14ac:dyDescent="0.25">
      <c r="A14" s="17"/>
      <c r="B14" s="15" t="str">
        <f>IF(ISBLANK(A14), "", VLOOKUP(A14, Menu!$A$2:$D$18, 2, FALSE))</f>
        <v/>
      </c>
      <c r="C14" s="15" t="str">
        <f>IF(ISBLANK(A14), "", VLOOKUP(A14, Menu!$A$2:$D$18, 3, FALSE))</f>
        <v/>
      </c>
      <c r="D14" s="16" t="str">
        <f>IF(ISBLANK(A14), "", VLOOKUP(A14, Menu!$A$2:$D$18, 4, FALSE))</f>
        <v/>
      </c>
      <c r="E14" s="17"/>
      <c r="F14" s="16" t="str">
        <f t="shared" si="0"/>
        <v/>
      </c>
    </row>
    <row r="15" spans="1:6" x14ac:dyDescent="0.25">
      <c r="A15" s="17"/>
      <c r="B15" s="15" t="str">
        <f>IF(ISBLANK(A15), "", VLOOKUP(A15, Menu!$A$2:$D$18, 2, FALSE))</f>
        <v/>
      </c>
      <c r="C15" s="15" t="str">
        <f>IF(ISBLANK(A15), "", VLOOKUP(A15, Menu!$A$2:$D$18, 3, FALSE))</f>
        <v/>
      </c>
      <c r="D15" s="16" t="str">
        <f>IF(ISBLANK(A15), "", VLOOKUP(A15, Menu!$A$2:$D$18, 4, FALSE))</f>
        <v/>
      </c>
      <c r="E15" s="17"/>
      <c r="F15" s="16" t="str">
        <f t="shared" si="0"/>
        <v/>
      </c>
    </row>
    <row r="16" spans="1:6" x14ac:dyDescent="0.25">
      <c r="A16" s="17"/>
      <c r="B16" s="15" t="str">
        <f>IF(ISBLANK(A16), "", VLOOKUP(A16, Menu!$A$2:$D$18, 2, FALSE))</f>
        <v/>
      </c>
      <c r="C16" s="15" t="str">
        <f>IF(ISBLANK(A16), "", VLOOKUP(A16, Menu!$A$2:$D$18, 3, FALSE))</f>
        <v/>
      </c>
      <c r="D16" s="16" t="str">
        <f>IF(ISBLANK(A16), "", VLOOKUP(A16, Menu!$A$2:$D$18, 4, FALSE))</f>
        <v/>
      </c>
      <c r="E16" s="17"/>
      <c r="F16" s="16" t="str">
        <f t="shared" si="0"/>
        <v/>
      </c>
    </row>
    <row r="17" spans="1:6" x14ac:dyDescent="0.25">
      <c r="A17" s="17"/>
      <c r="B17" s="15" t="str">
        <f>IF(ISBLANK(A17), "", VLOOKUP(A17, Menu!$A$2:$D$18, 2, FALSE))</f>
        <v/>
      </c>
      <c r="C17" s="15" t="str">
        <f>IF(ISBLANK(A17), "", VLOOKUP(A17, Menu!$A$2:$D$18, 3, FALSE))</f>
        <v/>
      </c>
      <c r="D17" s="16" t="str">
        <f>IF(ISBLANK(A17), "", VLOOKUP(A17, Menu!$A$2:$D$18, 4, FALSE))</f>
        <v/>
      </c>
      <c r="E17" s="17"/>
      <c r="F17" s="16" t="str">
        <f t="shared" si="0"/>
        <v/>
      </c>
    </row>
    <row r="18" spans="1:6" x14ac:dyDescent="0.25">
      <c r="A18" s="17"/>
      <c r="B18" s="15" t="str">
        <f>IF(ISBLANK(A18), "", VLOOKUP(A18, Menu!$A$2:$D$18, 2, FALSE))</f>
        <v/>
      </c>
      <c r="C18" s="15" t="str">
        <f>IF(ISBLANK(A18), "", VLOOKUP(A18, Menu!$A$2:$D$18, 3, FALSE))</f>
        <v/>
      </c>
      <c r="D18" s="16" t="str">
        <f>IF(ISBLANK(A18), "", VLOOKUP(A18, Menu!$A$2:$D$18, 4, FALSE))</f>
        <v/>
      </c>
      <c r="E18" s="17"/>
      <c r="F18" s="16" t="str">
        <f t="shared" si="0"/>
        <v/>
      </c>
    </row>
    <row r="19" spans="1:6" x14ac:dyDescent="0.25">
      <c r="A19" s="17"/>
      <c r="B19" s="15" t="str">
        <f>IF(ISBLANK(A19), "", VLOOKUP(A19, Menu!$A$2:$D$18, 2, FALSE))</f>
        <v/>
      </c>
      <c r="C19" s="15" t="str">
        <f>IF(ISBLANK(A19), "", VLOOKUP(A19, Menu!$A$2:$D$18, 3, FALSE))</f>
        <v/>
      </c>
      <c r="D19" s="16" t="str">
        <f>IF(ISBLANK(A19), "", VLOOKUP(A19, Menu!$A$2:$D$18, 4, FALSE))</f>
        <v/>
      </c>
      <c r="E19" s="17"/>
      <c r="F19" s="16" t="str">
        <f t="shared" si="0"/>
        <v/>
      </c>
    </row>
    <row r="20" spans="1:6" x14ac:dyDescent="0.25">
      <c r="A20" s="17"/>
      <c r="B20" s="15" t="str">
        <f>IF(ISBLANK(A20), "", VLOOKUP(A20, Menu!$A$2:$D$18, 2, FALSE))</f>
        <v/>
      </c>
      <c r="C20" s="15" t="str">
        <f>IF(ISBLANK(A20), "", VLOOKUP(A20, Menu!$A$2:$D$18, 3, FALSE))</f>
        <v/>
      </c>
      <c r="D20" s="16" t="str">
        <f>IF(ISBLANK(A20), "", VLOOKUP(A20, Menu!$A$2:$D$18, 4, FALSE))</f>
        <v/>
      </c>
      <c r="E20" s="17"/>
      <c r="F20" s="16" t="str">
        <f t="shared" si="0"/>
        <v/>
      </c>
    </row>
    <row r="21" spans="1:6" x14ac:dyDescent="0.25">
      <c r="A21" s="17"/>
      <c r="B21" s="15" t="str">
        <f>IF(ISBLANK(A21), "", VLOOKUP(A21, Menu!$A$2:$D$18, 2, FALSE))</f>
        <v/>
      </c>
      <c r="C21" s="15" t="str">
        <f>IF(ISBLANK(A21), "", VLOOKUP(A21, Menu!$A$2:$D$18, 3, FALSE))</f>
        <v/>
      </c>
      <c r="D21" s="16" t="str">
        <f>IF(ISBLANK(A21), "", VLOOKUP(A21, Menu!$A$2:$D$18, 4, FALSE))</f>
        <v/>
      </c>
      <c r="E21" s="17"/>
      <c r="F21" s="16" t="str">
        <f t="shared" si="0"/>
        <v/>
      </c>
    </row>
    <row r="22" spans="1:6" x14ac:dyDescent="0.25">
      <c r="A22" s="17"/>
      <c r="B22" s="15" t="str">
        <f>IF(ISBLANK(A22), "", VLOOKUP(A22, Menu!$A$2:$D$18, 2, FALSE))</f>
        <v/>
      </c>
      <c r="C22" s="15" t="str">
        <f>IF(ISBLANK(A22), "", VLOOKUP(A22, Menu!$A$2:$D$18, 3, FALSE))</f>
        <v/>
      </c>
      <c r="D22" s="16" t="str">
        <f>IF(ISBLANK(A22), "", VLOOKUP(A22, Menu!$A$2:$D$18, 4, FALSE))</f>
        <v/>
      </c>
      <c r="E22" s="17"/>
      <c r="F22" s="16" t="str">
        <f t="shared" si="0"/>
        <v/>
      </c>
    </row>
    <row r="23" spans="1:6" x14ac:dyDescent="0.25">
      <c r="A23" s="17"/>
      <c r="B23" s="15" t="str">
        <f>IF(ISBLANK(A23), "", VLOOKUP(A23, Menu!$A$2:$D$18, 2, FALSE))</f>
        <v/>
      </c>
      <c r="C23" s="15" t="str">
        <f>IF(ISBLANK(A23), "", VLOOKUP(A23, Menu!$A$2:$D$18, 3, FALSE))</f>
        <v/>
      </c>
      <c r="D23" s="16" t="str">
        <f>IF(ISBLANK(A23), "", VLOOKUP(A23, Menu!$A$2:$D$18, 4, FALSE))</f>
        <v/>
      </c>
      <c r="E23" s="17"/>
      <c r="F23" s="16" t="str">
        <f t="shared" si="0"/>
        <v/>
      </c>
    </row>
    <row r="24" spans="1:6" x14ac:dyDescent="0.25">
      <c r="A24" s="17"/>
      <c r="B24" s="15" t="str">
        <f>IF(ISBLANK(A24), "", VLOOKUP(A24, Menu!$A$2:$D$18, 2, FALSE))</f>
        <v/>
      </c>
      <c r="C24" s="15" t="str">
        <f>IF(ISBLANK(A24), "", VLOOKUP(A24, Menu!$A$2:$D$18, 3, FALSE))</f>
        <v/>
      </c>
      <c r="D24" s="16" t="str">
        <f>IF(ISBLANK(A24), "", VLOOKUP(A24, Menu!$A$2:$D$18, 4, FALSE))</f>
        <v/>
      </c>
      <c r="E24" s="17"/>
      <c r="F24" s="16" t="str">
        <f t="shared" si="0"/>
        <v/>
      </c>
    </row>
    <row r="25" spans="1:6" x14ac:dyDescent="0.25">
      <c r="A25" s="17"/>
      <c r="B25" s="15" t="str">
        <f>IF(ISBLANK(A25), "", VLOOKUP(A25, Menu!$A$2:$D$18, 2, FALSE))</f>
        <v/>
      </c>
      <c r="C25" s="15" t="str">
        <f>IF(ISBLANK(A25), "", VLOOKUP(A25, Menu!$A$2:$D$18, 3, FALSE))</f>
        <v/>
      </c>
      <c r="D25" s="16" t="str">
        <f>IF(ISBLANK(A25), "", VLOOKUP(A25, Menu!$A$2:$D$18, 4, FALSE))</f>
        <v/>
      </c>
      <c r="E25" s="17"/>
      <c r="F25" s="16" t="str">
        <f t="shared" si="0"/>
        <v/>
      </c>
    </row>
    <row r="26" spans="1:6" x14ac:dyDescent="0.25">
      <c r="A26" s="17"/>
      <c r="B26" s="15" t="str">
        <f>IF(ISBLANK(A26), "", VLOOKUP(A26, Menu!$A$2:$D$18, 2, FALSE))</f>
        <v/>
      </c>
      <c r="C26" s="15" t="str">
        <f>IF(ISBLANK(A26), "", VLOOKUP(A26, Menu!$A$2:$D$18, 3, FALSE))</f>
        <v/>
      </c>
      <c r="D26" s="16" t="str">
        <f>IF(ISBLANK(A26), "", VLOOKUP(A26, Menu!$A$2:$D$18, 4, FALSE))</f>
        <v/>
      </c>
      <c r="E26" s="17"/>
      <c r="F26" s="16" t="str">
        <f t="shared" si="0"/>
        <v/>
      </c>
    </row>
    <row r="27" spans="1:6" x14ac:dyDescent="0.25">
      <c r="A27" s="17"/>
      <c r="B27" s="15" t="str">
        <f>IF(ISBLANK(A27), "", VLOOKUP(A27, Menu!$A$2:$D$18, 2, FALSE))</f>
        <v/>
      </c>
      <c r="C27" s="15" t="str">
        <f>IF(ISBLANK(A27), "", VLOOKUP(A27, Menu!$A$2:$D$18, 3, FALSE))</f>
        <v/>
      </c>
      <c r="D27" s="16" t="str">
        <f>IF(ISBLANK(A27), "", VLOOKUP(A27, Menu!$A$2:$D$18, 4, FALSE))</f>
        <v/>
      </c>
      <c r="E27" s="17"/>
      <c r="F27" s="16" t="str">
        <f t="shared" si="0"/>
        <v/>
      </c>
    </row>
    <row r="28" spans="1:6" x14ac:dyDescent="0.25">
      <c r="A28" s="17"/>
      <c r="B28" s="15" t="str">
        <f>IF(ISBLANK(A28), "", VLOOKUP(A28, Menu!$A$2:$D$18, 2, FALSE))</f>
        <v/>
      </c>
      <c r="C28" s="15" t="str">
        <f>IF(ISBLANK(A28), "", VLOOKUP(A28, Menu!$A$2:$D$18, 3, FALSE))</f>
        <v/>
      </c>
      <c r="D28" s="16" t="str">
        <f>IF(ISBLANK(A28), "", VLOOKUP(A28, Menu!$A$2:$D$18, 4, FALSE))</f>
        <v/>
      </c>
      <c r="E28" s="17"/>
      <c r="F28" s="16" t="str">
        <f t="shared" si="0"/>
        <v/>
      </c>
    </row>
    <row r="29" spans="1:6" x14ac:dyDescent="0.25">
      <c r="A29" s="17"/>
      <c r="B29" s="15" t="str">
        <f>IF(ISBLANK(A29), "", VLOOKUP(A29, Menu!$A$2:$D$18, 2, FALSE))</f>
        <v/>
      </c>
      <c r="C29" s="15" t="str">
        <f>IF(ISBLANK(A29), "", VLOOKUP(A29, Menu!$A$2:$D$18, 3, FALSE))</f>
        <v/>
      </c>
      <c r="D29" s="16" t="str">
        <f>IF(ISBLANK(A29), "", VLOOKUP(A29, Menu!$A$2:$D$18, 4, FALSE))</f>
        <v/>
      </c>
      <c r="E29" s="17"/>
      <c r="F29" s="16" t="str">
        <f t="shared" si="0"/>
        <v/>
      </c>
    </row>
    <row r="30" spans="1:6" x14ac:dyDescent="0.25">
      <c r="A30" s="17"/>
      <c r="B30" s="15" t="str">
        <f>IF(ISBLANK(A30), "", VLOOKUP(A30, Menu!$A$2:$D$18, 2, FALSE))</f>
        <v/>
      </c>
      <c r="C30" s="15" t="str">
        <f>IF(ISBLANK(A30), "", VLOOKUP(A30, Menu!$A$2:$D$18, 3, FALSE))</f>
        <v/>
      </c>
      <c r="D30" s="16" t="str">
        <f>IF(ISBLANK(A30), "", VLOOKUP(A30, Menu!$A$2:$D$18, 4, FALSE))</f>
        <v/>
      </c>
      <c r="E30" s="17"/>
      <c r="F30" s="16" t="str">
        <f t="shared" si="0"/>
        <v/>
      </c>
    </row>
    <row r="31" spans="1:6" x14ac:dyDescent="0.25">
      <c r="A31" s="17"/>
      <c r="B31" s="15" t="str">
        <f>IF(ISBLANK(A31), "", VLOOKUP(A31, Menu!$A$2:$D$18, 2, FALSE))</f>
        <v/>
      </c>
      <c r="C31" s="15" t="str">
        <f>IF(ISBLANK(A31), "", VLOOKUP(A31, Menu!$A$2:$D$18, 3, FALSE))</f>
        <v/>
      </c>
      <c r="D31" s="16" t="str">
        <f>IF(ISBLANK(A31), "", VLOOKUP(A31, Menu!$A$2:$D$18, 4, FALSE))</f>
        <v/>
      </c>
      <c r="E31" s="17"/>
      <c r="F31" s="16" t="str">
        <f t="shared" si="0"/>
        <v/>
      </c>
    </row>
    <row r="32" spans="1:6" x14ac:dyDescent="0.25">
      <c r="A32" s="17"/>
      <c r="B32" s="15" t="str">
        <f>IF(ISBLANK(A32), "", VLOOKUP(A32, Menu!$A$2:$D$18, 2, FALSE))</f>
        <v/>
      </c>
      <c r="C32" s="15" t="str">
        <f>IF(ISBLANK(A32), "", VLOOKUP(A32, Menu!$A$2:$D$18, 3, FALSE))</f>
        <v/>
      </c>
      <c r="D32" s="16" t="str">
        <f>IF(ISBLANK(A32), "", VLOOKUP(A32, Menu!$A$2:$D$18, 4, FALSE))</f>
        <v/>
      </c>
      <c r="E32" s="17"/>
      <c r="F32" s="16" t="str">
        <f t="shared" si="0"/>
        <v/>
      </c>
    </row>
    <row r="33" spans="1:6" x14ac:dyDescent="0.25">
      <c r="A33" s="17"/>
      <c r="B33" s="15" t="str">
        <f>IF(ISBLANK(A33), "", VLOOKUP(A33, Menu!$A$2:$D$18, 2, FALSE))</f>
        <v/>
      </c>
      <c r="C33" s="15" t="str">
        <f>IF(ISBLANK(A33), "", VLOOKUP(A33, Menu!$A$2:$D$18, 3, FALSE))</f>
        <v/>
      </c>
      <c r="D33" s="16" t="str">
        <f>IF(ISBLANK(A33), "", VLOOKUP(A33, Menu!$A$2:$D$18, 4, FALSE))</f>
        <v/>
      </c>
      <c r="E33" s="17"/>
      <c r="F33" s="16" t="str">
        <f t="shared" si="0"/>
        <v/>
      </c>
    </row>
    <row r="34" spans="1:6" x14ac:dyDescent="0.25">
      <c r="A34" s="17"/>
      <c r="B34" s="15" t="str">
        <f>IF(ISBLANK(A34), "", VLOOKUP(A34, Menu!$A$2:$D$18, 2, FALSE))</f>
        <v/>
      </c>
      <c r="C34" s="15" t="str">
        <f>IF(ISBLANK(A34), "", VLOOKUP(A34, Menu!$A$2:$D$18, 3, FALSE))</f>
        <v/>
      </c>
      <c r="D34" s="16" t="str">
        <f>IF(ISBLANK(A34), "", VLOOKUP(A34, Menu!$A$2:$D$18, 4, FALSE))</f>
        <v/>
      </c>
      <c r="E34" s="17"/>
      <c r="F34" s="16" t="str">
        <f t="shared" si="0"/>
        <v/>
      </c>
    </row>
    <row r="35" spans="1:6" x14ac:dyDescent="0.25">
      <c r="A35" s="17"/>
      <c r="B35" s="15" t="str">
        <f>IF(ISBLANK(A35), "", VLOOKUP(A35, Menu!$A$2:$D$18, 2, FALSE))</f>
        <v/>
      </c>
      <c r="C35" s="15" t="str">
        <f>IF(ISBLANK(A35), "", VLOOKUP(A35, Menu!$A$2:$D$18, 3, FALSE))</f>
        <v/>
      </c>
      <c r="D35" s="16" t="str">
        <f>IF(ISBLANK(A35), "", VLOOKUP(A35, Menu!$A$2:$D$18, 4, FALSE))</f>
        <v/>
      </c>
      <c r="E35" s="17"/>
      <c r="F35" s="16" t="str">
        <f t="shared" si="0"/>
        <v/>
      </c>
    </row>
    <row r="36" spans="1:6" x14ac:dyDescent="0.25">
      <c r="A36" s="17"/>
      <c r="B36" s="15" t="str">
        <f>IF(ISBLANK(A36), "", VLOOKUP(A36, Menu!$A$2:$D$18, 2, FALSE))</f>
        <v/>
      </c>
      <c r="C36" s="15" t="str">
        <f>IF(ISBLANK(A36), "", VLOOKUP(A36, Menu!$A$2:$D$18, 3, FALSE))</f>
        <v/>
      </c>
      <c r="D36" s="16" t="str">
        <f>IF(ISBLANK(A36), "", VLOOKUP(A36, Menu!$A$2:$D$18, 4, FALSE))</f>
        <v/>
      </c>
      <c r="E36" s="17"/>
      <c r="F36" s="16" t="str">
        <f t="shared" si="0"/>
        <v/>
      </c>
    </row>
    <row r="37" spans="1:6" x14ac:dyDescent="0.25">
      <c r="A37" s="17"/>
      <c r="B37" s="15" t="str">
        <f>IF(ISBLANK(A37), "", VLOOKUP(A37, Menu!$A$2:$D$18, 2, FALSE))</f>
        <v/>
      </c>
      <c r="C37" s="15" t="str">
        <f>IF(ISBLANK(A37), "", VLOOKUP(A37, Menu!$A$2:$D$18, 3, FALSE))</f>
        <v/>
      </c>
      <c r="D37" s="16" t="str">
        <f>IF(ISBLANK(A37), "", VLOOKUP(A37, Menu!$A$2:$D$18, 4, FALSE))</f>
        <v/>
      </c>
      <c r="E37" s="17"/>
      <c r="F37" s="16" t="str">
        <f t="shared" si="0"/>
        <v/>
      </c>
    </row>
    <row r="38" spans="1:6" x14ac:dyDescent="0.25">
      <c r="A38" s="17"/>
      <c r="B38" s="15" t="str">
        <f>IF(ISBLANK(A38), "", VLOOKUP(A38, Menu!$A$2:$D$18, 2, FALSE))</f>
        <v/>
      </c>
      <c r="C38" s="15" t="str">
        <f>IF(ISBLANK(A38), "", VLOOKUP(A38, Menu!$A$2:$D$18, 3, FALSE))</f>
        <v/>
      </c>
      <c r="D38" s="16" t="str">
        <f>IF(ISBLANK(A38), "", VLOOKUP(A38, Menu!$A$2:$D$18, 4, FALSE))</f>
        <v/>
      </c>
      <c r="E38" s="17"/>
      <c r="F38" s="16" t="str">
        <f t="shared" si="0"/>
        <v/>
      </c>
    </row>
    <row r="39" spans="1:6" x14ac:dyDescent="0.25">
      <c r="A39" s="17"/>
      <c r="B39" s="15" t="str">
        <f>IF(ISBLANK(A39), "", VLOOKUP(A39, Menu!$A$2:$D$18, 2, FALSE))</f>
        <v/>
      </c>
      <c r="C39" s="15" t="str">
        <f>IF(ISBLANK(A39), "", VLOOKUP(A39, Menu!$A$2:$D$18, 3, FALSE))</f>
        <v/>
      </c>
      <c r="D39" s="16" t="str">
        <f>IF(ISBLANK(A39), "", VLOOKUP(A39, Menu!$A$2:$D$18, 4, FALSE))</f>
        <v/>
      </c>
      <c r="E39" s="17"/>
      <c r="F39" s="16" t="str">
        <f t="shared" si="0"/>
        <v/>
      </c>
    </row>
    <row r="40" spans="1:6" x14ac:dyDescent="0.25">
      <c r="A40" s="17"/>
      <c r="B40" s="15" t="str">
        <f>IF(ISBLANK(A40), "", VLOOKUP(A40, Menu!$A$2:$D$18, 2, FALSE))</f>
        <v/>
      </c>
      <c r="C40" s="15" t="str">
        <f>IF(ISBLANK(A40), "", VLOOKUP(A40, Menu!$A$2:$D$18, 3, FALSE))</f>
        <v/>
      </c>
      <c r="D40" s="16" t="str">
        <f>IF(ISBLANK(A40), "", VLOOKUP(A40, Menu!$A$2:$D$18, 4, FALSE))</f>
        <v/>
      </c>
      <c r="E40" s="17"/>
      <c r="F40" s="16" t="str">
        <f t="shared" si="0"/>
        <v/>
      </c>
    </row>
    <row r="41" spans="1:6" x14ac:dyDescent="0.25">
      <c r="A41" s="17"/>
      <c r="B41" s="15" t="str">
        <f>IF(ISBLANK(A41), "", VLOOKUP(A41, Menu!$A$2:$D$18, 2, FALSE))</f>
        <v/>
      </c>
      <c r="C41" s="15" t="str">
        <f>IF(ISBLANK(A41), "", VLOOKUP(A41, Menu!$A$2:$D$18, 3, FALSE))</f>
        <v/>
      </c>
      <c r="D41" s="16" t="str">
        <f>IF(ISBLANK(A41), "", VLOOKUP(A41, Menu!$A$2:$D$18, 4, FALSE))</f>
        <v/>
      </c>
      <c r="E41" s="17"/>
      <c r="F41" s="16" t="str">
        <f t="shared" si="0"/>
        <v/>
      </c>
    </row>
    <row r="42" spans="1:6" x14ac:dyDescent="0.25">
      <c r="A42" s="17"/>
      <c r="B42" s="15" t="str">
        <f>IF(ISBLANK(A42), "", VLOOKUP(A42, Menu!$A$2:$D$18, 2, FALSE))</f>
        <v/>
      </c>
      <c r="C42" s="15" t="str">
        <f>IF(ISBLANK(A42), "", VLOOKUP(A42, Menu!$A$2:$D$18, 3, FALSE))</f>
        <v/>
      </c>
      <c r="D42" s="16" t="str">
        <f>IF(ISBLANK(A42), "", VLOOKUP(A42, Menu!$A$2:$D$18, 4, FALSE))</f>
        <v/>
      </c>
      <c r="E42" s="17"/>
      <c r="F42" s="16" t="str">
        <f t="shared" si="0"/>
        <v/>
      </c>
    </row>
    <row r="43" spans="1:6" x14ac:dyDescent="0.25">
      <c r="A43" s="17"/>
      <c r="B43" s="15" t="str">
        <f>IF(ISBLANK(A43), "", VLOOKUP(A43, Menu!$A$2:$D$18, 2, FALSE))</f>
        <v/>
      </c>
      <c r="C43" s="15" t="str">
        <f>IF(ISBLANK(A43), "", VLOOKUP(A43, Menu!$A$2:$D$18, 3, FALSE))</f>
        <v/>
      </c>
      <c r="D43" s="16" t="str">
        <f>IF(ISBLANK(A43), "", VLOOKUP(A43, Menu!$A$2:$D$18, 4, FALSE))</f>
        <v/>
      </c>
      <c r="E43" s="17"/>
      <c r="F43" s="16" t="str">
        <f t="shared" si="0"/>
        <v/>
      </c>
    </row>
    <row r="44" spans="1:6" x14ac:dyDescent="0.25">
      <c r="A44" s="17"/>
      <c r="B44" s="15" t="str">
        <f>IF(ISBLANK(A44), "", VLOOKUP(A44, Menu!$A$2:$D$18, 2, FALSE))</f>
        <v/>
      </c>
      <c r="C44" s="15" t="str">
        <f>IF(ISBLANK(A44), "", VLOOKUP(A44, Menu!$A$2:$D$18, 3, FALSE))</f>
        <v/>
      </c>
      <c r="D44" s="16" t="str">
        <f>IF(ISBLANK(A44), "", VLOOKUP(A44, Menu!$A$2:$D$18, 4, FALSE))</f>
        <v/>
      </c>
      <c r="E44" s="17"/>
      <c r="F44" s="16" t="str">
        <f t="shared" si="0"/>
        <v/>
      </c>
    </row>
    <row r="45" spans="1:6" x14ac:dyDescent="0.25">
      <c r="A45" s="17"/>
      <c r="B45" s="15" t="str">
        <f>IF(ISBLANK(A45), "", VLOOKUP(A45, Menu!$A$2:$D$18, 2, FALSE))</f>
        <v/>
      </c>
      <c r="C45" s="15" t="str">
        <f>IF(ISBLANK(A45), "", VLOOKUP(A45, Menu!$A$2:$D$18, 3, FALSE))</f>
        <v/>
      </c>
      <c r="D45" s="16" t="str">
        <f>IF(ISBLANK(A45), "", VLOOKUP(A45, Menu!$A$2:$D$18, 4, FALSE))</f>
        <v/>
      </c>
      <c r="E45" s="17"/>
      <c r="F45" s="16" t="str">
        <f t="shared" si="0"/>
        <v/>
      </c>
    </row>
    <row r="46" spans="1:6" x14ac:dyDescent="0.25">
      <c r="A46" s="17"/>
      <c r="B46" s="15" t="str">
        <f>IF(ISBLANK(A46), "", VLOOKUP(A46, Menu!$A$2:$D$18, 2, FALSE))</f>
        <v/>
      </c>
      <c r="C46" s="15" t="str">
        <f>IF(ISBLANK(A46), "", VLOOKUP(A46, Menu!$A$2:$D$18, 3, FALSE))</f>
        <v/>
      </c>
      <c r="D46" s="16" t="str">
        <f>IF(ISBLANK(A46), "", VLOOKUP(A46, Menu!$A$2:$D$18, 4, FALSE))</f>
        <v/>
      </c>
      <c r="E46" s="17"/>
      <c r="F46" s="16" t="str">
        <f t="shared" si="0"/>
        <v/>
      </c>
    </row>
    <row r="47" spans="1:6" x14ac:dyDescent="0.25">
      <c r="A47" s="17"/>
      <c r="B47" s="15" t="str">
        <f>IF(ISBLANK(A47), "", VLOOKUP(A47, Menu!$A$2:$D$18, 2, FALSE))</f>
        <v/>
      </c>
      <c r="C47" s="15" t="str">
        <f>IF(ISBLANK(A47), "", VLOOKUP(A47, Menu!$A$2:$D$18, 3, FALSE))</f>
        <v/>
      </c>
      <c r="D47" s="16" t="str">
        <f>IF(ISBLANK(A47), "", VLOOKUP(A47, Menu!$A$2:$D$18, 4, FALSE))</f>
        <v/>
      </c>
      <c r="E47" s="17"/>
      <c r="F47" s="16" t="str">
        <f t="shared" si="0"/>
        <v/>
      </c>
    </row>
    <row r="48" spans="1:6" x14ac:dyDescent="0.25">
      <c r="A48" s="17"/>
      <c r="B48" s="15" t="str">
        <f>IF(ISBLANK(A48), "", VLOOKUP(A48, Menu!$A$2:$D$18, 2, FALSE))</f>
        <v/>
      </c>
      <c r="C48" s="15" t="str">
        <f>IF(ISBLANK(A48), "", VLOOKUP(A48, Menu!$A$2:$D$18, 3, FALSE))</f>
        <v/>
      </c>
      <c r="D48" s="16" t="str">
        <f>IF(ISBLANK(A48), "", VLOOKUP(A48, Menu!$A$2:$D$18, 4, FALSE))</f>
        <v/>
      </c>
      <c r="E48" s="17"/>
      <c r="F48" s="16" t="str">
        <f t="shared" si="0"/>
        <v/>
      </c>
    </row>
    <row r="49" spans="1:6" x14ac:dyDescent="0.25">
      <c r="A49" s="17"/>
      <c r="B49" s="15" t="str">
        <f>IF(ISBLANK(A49), "", VLOOKUP(A49, Menu!$A$2:$D$18, 2, FALSE))</f>
        <v/>
      </c>
      <c r="C49" s="15" t="str">
        <f>IF(ISBLANK(A49), "", VLOOKUP(A49, Menu!$A$2:$D$18, 3, FALSE))</f>
        <v/>
      </c>
      <c r="D49" s="16" t="str">
        <f>IF(ISBLANK(A49), "", VLOOKUP(A49, Menu!$A$2:$D$18, 4, FALSE))</f>
        <v/>
      </c>
      <c r="E49" s="17"/>
      <c r="F49" s="16" t="str">
        <f t="shared" si="0"/>
        <v/>
      </c>
    </row>
    <row r="50" spans="1:6" x14ac:dyDescent="0.25">
      <c r="A50" s="17"/>
      <c r="B50" s="15" t="str">
        <f>IF(ISBLANK(A50), "", VLOOKUP(A50, Menu!$A$2:$D$18, 2, FALSE))</f>
        <v/>
      </c>
      <c r="C50" s="15" t="str">
        <f>IF(ISBLANK(A50), "", VLOOKUP(A50, Menu!$A$2:$D$18, 3, FALSE))</f>
        <v/>
      </c>
      <c r="D50" s="16" t="str">
        <f>IF(ISBLANK(A50), "", VLOOKUP(A50, Menu!$A$2:$D$18, 4, FALSE))</f>
        <v/>
      </c>
      <c r="E50" s="17"/>
      <c r="F50" s="16" t="str">
        <f t="shared" si="0"/>
        <v/>
      </c>
    </row>
    <row r="51" spans="1:6" x14ac:dyDescent="0.25">
      <c r="A51" s="17"/>
      <c r="B51" s="15" t="str">
        <f>IF(ISBLANK(A51), "", VLOOKUP(A51, Menu!$A$2:$D$18, 2, FALSE))</f>
        <v/>
      </c>
      <c r="C51" s="15" t="str">
        <f>IF(ISBLANK(A51), "", VLOOKUP(A51, Menu!$A$2:$D$18, 3, FALSE))</f>
        <v/>
      </c>
      <c r="D51" s="16" t="str">
        <f>IF(ISBLANK(A51), "", VLOOKUP(A51, Menu!$A$2:$D$18, 4, FALSE))</f>
        <v/>
      </c>
      <c r="E51" s="17"/>
      <c r="F51" s="16" t="str">
        <f t="shared" si="0"/>
        <v/>
      </c>
    </row>
    <row r="52" spans="1:6" x14ac:dyDescent="0.25">
      <c r="A52" s="17"/>
      <c r="B52" s="15" t="str">
        <f>IF(ISBLANK(A52), "", VLOOKUP(A52, Menu!$A$2:$D$18, 2, FALSE))</f>
        <v/>
      </c>
      <c r="C52" s="15" t="str">
        <f>IF(ISBLANK(A52), "", VLOOKUP(A52, Menu!$A$2:$D$18, 3, FALSE))</f>
        <v/>
      </c>
      <c r="D52" s="16" t="str">
        <f>IF(ISBLANK(A52), "", VLOOKUP(A52, Menu!$A$2:$D$18, 4, FALSE))</f>
        <v/>
      </c>
      <c r="E52" s="17"/>
      <c r="F52" s="16" t="str">
        <f t="shared" si="0"/>
        <v/>
      </c>
    </row>
    <row r="53" spans="1:6" x14ac:dyDescent="0.25">
      <c r="A53" s="17"/>
      <c r="B53" s="15" t="str">
        <f>IF(ISBLANK(A53), "", VLOOKUP(A53, Menu!$A$2:$D$18, 2, FALSE))</f>
        <v/>
      </c>
      <c r="C53" s="15" t="str">
        <f>IF(ISBLANK(A53), "", VLOOKUP(A53, Menu!$A$2:$D$18, 3, FALSE))</f>
        <v/>
      </c>
      <c r="D53" s="16" t="str">
        <f>IF(ISBLANK(A53), "", VLOOKUP(A53, Menu!$A$2:$D$18, 4, FALSE))</f>
        <v/>
      </c>
      <c r="E53" s="17"/>
      <c r="F53" s="16" t="str">
        <f t="shared" si="0"/>
        <v/>
      </c>
    </row>
    <row r="54" spans="1:6" x14ac:dyDescent="0.25">
      <c r="A54" s="17"/>
      <c r="B54" s="15" t="str">
        <f>IF(ISBLANK(A54), "", VLOOKUP(A54, Menu!$A$2:$D$18, 2, FALSE))</f>
        <v/>
      </c>
      <c r="C54" s="15" t="str">
        <f>IF(ISBLANK(A54), "", VLOOKUP(A54, Menu!$A$2:$D$18, 3, FALSE))</f>
        <v/>
      </c>
      <c r="D54" s="16" t="str">
        <f>IF(ISBLANK(A54), "", VLOOKUP(A54, Menu!$A$2:$D$18, 4, FALSE))</f>
        <v/>
      </c>
      <c r="E54" s="17"/>
      <c r="F54" s="16" t="str">
        <f t="shared" si="0"/>
        <v/>
      </c>
    </row>
    <row r="55" spans="1:6" x14ac:dyDescent="0.25">
      <c r="A55" s="17"/>
      <c r="B55" s="15" t="str">
        <f>IF(ISBLANK(A55), "", VLOOKUP(A55, Menu!$A$2:$D$18, 2, FALSE))</f>
        <v/>
      </c>
      <c r="C55" s="15" t="str">
        <f>IF(ISBLANK(A55), "", VLOOKUP(A55, Menu!$A$2:$D$18, 3, FALSE))</f>
        <v/>
      </c>
      <c r="D55" s="16" t="str">
        <f>IF(ISBLANK(A55), "", VLOOKUP(A55, Menu!$A$2:$D$18, 4, FALSE))</f>
        <v/>
      </c>
      <c r="E55" s="17"/>
      <c r="F55" s="16" t="str">
        <f t="shared" si="0"/>
        <v/>
      </c>
    </row>
    <row r="56" spans="1:6" x14ac:dyDescent="0.25">
      <c r="A56" s="17"/>
      <c r="B56" s="15" t="str">
        <f>IF(ISBLANK(A56), "", VLOOKUP(A56, Menu!$A$2:$D$18, 2, FALSE))</f>
        <v/>
      </c>
      <c r="C56" s="15" t="str">
        <f>IF(ISBLANK(A56), "", VLOOKUP(A56, Menu!$A$2:$D$18, 3, FALSE))</f>
        <v/>
      </c>
      <c r="D56" s="16" t="str">
        <f>IF(ISBLANK(A56), "", VLOOKUP(A56, Menu!$A$2:$D$18, 4, FALSE))</f>
        <v/>
      </c>
      <c r="E56" s="17"/>
      <c r="F56" s="16" t="str">
        <f t="shared" si="0"/>
        <v/>
      </c>
    </row>
    <row r="57" spans="1:6" x14ac:dyDescent="0.25">
      <c r="A57" s="17"/>
      <c r="B57" s="15" t="str">
        <f>IF(ISBLANK(A57), "", VLOOKUP(A57, Menu!$A$2:$D$18, 2, FALSE))</f>
        <v/>
      </c>
      <c r="C57" s="15" t="str">
        <f>IF(ISBLANK(A57), "", VLOOKUP(A57, Menu!$A$2:$D$18, 3, FALSE))</f>
        <v/>
      </c>
      <c r="D57" s="16" t="str">
        <f>IF(ISBLANK(A57), "", VLOOKUP(A57, Menu!$A$2:$D$18, 4, FALSE))</f>
        <v/>
      </c>
      <c r="E57" s="17"/>
      <c r="F57" s="16" t="str">
        <f t="shared" si="0"/>
        <v/>
      </c>
    </row>
    <row r="58" spans="1:6" x14ac:dyDescent="0.25">
      <c r="A58" s="17"/>
      <c r="B58" s="15" t="str">
        <f>IF(ISBLANK(A58), "", VLOOKUP(A58, Menu!$A$2:$D$18, 2, FALSE))</f>
        <v/>
      </c>
      <c r="C58" s="15" t="str">
        <f>IF(ISBLANK(A58), "", VLOOKUP(A58, Menu!$A$2:$D$18, 3, FALSE))</f>
        <v/>
      </c>
      <c r="D58" s="16" t="str">
        <f>IF(ISBLANK(A58), "", VLOOKUP(A58, Menu!$A$2:$D$18, 4, FALSE))</f>
        <v/>
      </c>
      <c r="E58" s="17"/>
      <c r="F58" s="16" t="str">
        <f t="shared" si="0"/>
        <v/>
      </c>
    </row>
    <row r="59" spans="1:6" x14ac:dyDescent="0.25">
      <c r="A59" s="17"/>
      <c r="B59" s="15" t="str">
        <f>IF(ISBLANK(A59), "", VLOOKUP(A59, Menu!$A$2:$D$18, 2, FALSE))</f>
        <v/>
      </c>
      <c r="C59" s="15" t="str">
        <f>IF(ISBLANK(A59), "", VLOOKUP(A59, Menu!$A$2:$D$18, 3, FALSE))</f>
        <v/>
      </c>
      <c r="D59" s="16" t="str">
        <f>IF(ISBLANK(A59), "", VLOOKUP(A59, Menu!$A$2:$D$18, 4, FALSE))</f>
        <v/>
      </c>
      <c r="E59" s="17"/>
      <c r="F59" s="16" t="str">
        <f t="shared" si="0"/>
        <v/>
      </c>
    </row>
    <row r="60" spans="1:6" x14ac:dyDescent="0.25">
      <c r="A60" s="17"/>
      <c r="B60" s="15" t="str">
        <f>IF(ISBLANK(A60), "", VLOOKUP(A60, Menu!$A$2:$D$18, 2, FALSE))</f>
        <v/>
      </c>
      <c r="C60" s="15" t="str">
        <f>IF(ISBLANK(A60), "", VLOOKUP(A60, Menu!$A$2:$D$18, 3, FALSE))</f>
        <v/>
      </c>
      <c r="D60" s="16" t="str">
        <f>IF(ISBLANK(A60), "", VLOOKUP(A60, Menu!$A$2:$D$18, 4, FALSE))</f>
        <v/>
      </c>
      <c r="E60" s="17"/>
      <c r="F60" s="16" t="str">
        <f t="shared" si="0"/>
        <v/>
      </c>
    </row>
    <row r="61" spans="1:6" x14ac:dyDescent="0.25">
      <c r="A61" s="17"/>
      <c r="B61" s="15" t="str">
        <f>IF(ISBLANK(A61), "", VLOOKUP(A61, Menu!$A$2:$D$18, 2, FALSE))</f>
        <v/>
      </c>
      <c r="C61" s="15" t="str">
        <f>IF(ISBLANK(A61), "", VLOOKUP(A61, Menu!$A$2:$D$18, 3, FALSE))</f>
        <v/>
      </c>
      <c r="D61" s="16" t="str">
        <f>IF(ISBLANK(A61), "", VLOOKUP(A61, Menu!$A$2:$D$18, 4, FALSE))</f>
        <v/>
      </c>
      <c r="E61" s="17"/>
      <c r="F61" s="16" t="str">
        <f t="shared" si="0"/>
        <v/>
      </c>
    </row>
    <row r="62" spans="1:6" x14ac:dyDescent="0.25">
      <c r="A62" s="17"/>
      <c r="B62" s="15" t="str">
        <f>IF(ISBLANK(A62), "", VLOOKUP(A62, Menu!$A$2:$D$18, 2, FALSE))</f>
        <v/>
      </c>
      <c r="C62" s="15" t="str">
        <f>IF(ISBLANK(A62), "", VLOOKUP(A62, Menu!$A$2:$D$18, 3, FALSE))</f>
        <v/>
      </c>
      <c r="D62" s="16" t="str">
        <f>IF(ISBLANK(A62), "", VLOOKUP(A62, Menu!$A$2:$D$18, 4, FALSE))</f>
        <v/>
      </c>
      <c r="E62" s="17"/>
      <c r="F62" s="16" t="str">
        <f t="shared" si="0"/>
        <v/>
      </c>
    </row>
    <row r="63" spans="1:6" x14ac:dyDescent="0.25">
      <c r="A63" s="17"/>
      <c r="B63" s="15" t="str">
        <f>IF(ISBLANK(A63), "", VLOOKUP(A63, Menu!$A$2:$D$18, 2, FALSE))</f>
        <v/>
      </c>
      <c r="C63" s="15" t="str">
        <f>IF(ISBLANK(A63), "", VLOOKUP(A63, Menu!$A$2:$D$18, 3, FALSE))</f>
        <v/>
      </c>
      <c r="D63" s="16" t="str">
        <f>IF(ISBLANK(A63), "", VLOOKUP(A63, Menu!$A$2:$D$18, 4, FALSE))</f>
        <v/>
      </c>
      <c r="E63" s="17"/>
      <c r="F63" s="16" t="str">
        <f t="shared" si="0"/>
        <v/>
      </c>
    </row>
    <row r="64" spans="1:6" x14ac:dyDescent="0.25">
      <c r="A64" s="17"/>
      <c r="B64" s="15" t="str">
        <f>IF(ISBLANK(A64), "", VLOOKUP(A64, Menu!$A$2:$D$18, 2, FALSE))</f>
        <v/>
      </c>
      <c r="C64" s="15" t="str">
        <f>IF(ISBLANK(A64), "", VLOOKUP(A64, Menu!$A$2:$D$18, 3, FALSE))</f>
        <v/>
      </c>
      <c r="D64" s="16" t="str">
        <f>IF(ISBLANK(A64), "", VLOOKUP(A64, Menu!$A$2:$D$18, 4, FALSE))</f>
        <v/>
      </c>
      <c r="E64" s="17"/>
      <c r="F64" s="16" t="str">
        <f t="shared" si="0"/>
        <v/>
      </c>
    </row>
    <row r="65" spans="1:6" x14ac:dyDescent="0.25">
      <c r="A65" s="17"/>
      <c r="B65" s="15" t="str">
        <f>IF(ISBLANK(A65), "", VLOOKUP(A65, Menu!$A$2:$D$18, 2, FALSE))</f>
        <v/>
      </c>
      <c r="C65" s="15" t="str">
        <f>IF(ISBLANK(A65), "", VLOOKUP(A65, Menu!$A$2:$D$18, 3, FALSE))</f>
        <v/>
      </c>
      <c r="D65" s="16" t="str">
        <f>IF(ISBLANK(A65), "", VLOOKUP(A65, Menu!$A$2:$D$18, 4, FALSE))</f>
        <v/>
      </c>
      <c r="E65" s="17"/>
      <c r="F65" s="16" t="str">
        <f t="shared" si="0"/>
        <v/>
      </c>
    </row>
    <row r="66" spans="1:6" x14ac:dyDescent="0.25">
      <c r="A66" s="17"/>
      <c r="B66" s="15" t="str">
        <f>IF(ISBLANK(A66), "", VLOOKUP(A66, Menu!$A$2:$D$18, 2, FALSE))</f>
        <v/>
      </c>
      <c r="C66" s="15" t="str">
        <f>IF(ISBLANK(A66), "", VLOOKUP(A66, Menu!$A$2:$D$18, 3, FALSE))</f>
        <v/>
      </c>
      <c r="D66" s="16" t="str">
        <f>IF(ISBLANK(A66), "", VLOOKUP(A66, Menu!$A$2:$D$18, 4, FALSE))</f>
        <v/>
      </c>
      <c r="E66" s="17"/>
      <c r="F66" s="16" t="str">
        <f t="shared" si="0"/>
        <v/>
      </c>
    </row>
    <row r="67" spans="1:6" x14ac:dyDescent="0.25">
      <c r="A67" s="17"/>
      <c r="B67" s="15" t="str">
        <f>IF(ISBLANK(A67), "", VLOOKUP(A67, Menu!$A$2:$D$18, 2, FALSE))</f>
        <v/>
      </c>
      <c r="C67" s="15" t="str">
        <f>IF(ISBLANK(A67), "", VLOOKUP(A67, Menu!$A$2:$D$18, 3, FALSE))</f>
        <v/>
      </c>
      <c r="D67" s="16" t="str">
        <f>IF(ISBLANK(A67), "", VLOOKUP(A67, Menu!$A$2:$D$18, 4, FALSE))</f>
        <v/>
      </c>
      <c r="E67" s="17"/>
      <c r="F67" s="16" t="str">
        <f t="shared" si="0"/>
        <v/>
      </c>
    </row>
    <row r="68" spans="1:6" x14ac:dyDescent="0.25">
      <c r="A68" s="17"/>
      <c r="B68" s="15" t="str">
        <f>IF(ISBLANK(A68), "", VLOOKUP(A68, Menu!$A$2:$D$18, 2, FALSE))</f>
        <v/>
      </c>
      <c r="C68" s="15" t="str">
        <f>IF(ISBLANK(A68), "", VLOOKUP(A68, Menu!$A$2:$D$18, 3, FALSE))</f>
        <v/>
      </c>
      <c r="D68" s="16" t="str">
        <f>IF(ISBLANK(A68), "", VLOOKUP(A68, Menu!$A$2:$D$18, 4, FALSE))</f>
        <v/>
      </c>
      <c r="E68" s="17"/>
      <c r="F68" s="16" t="str">
        <f t="shared" si="0"/>
        <v/>
      </c>
    </row>
    <row r="69" spans="1:6" x14ac:dyDescent="0.25">
      <c r="A69" s="17"/>
      <c r="B69" s="15" t="str">
        <f>IF(ISBLANK(A69), "", VLOOKUP(A69, Menu!$A$2:$D$18, 2, FALSE))</f>
        <v/>
      </c>
      <c r="C69" s="15" t="str">
        <f>IF(ISBLANK(A69), "", VLOOKUP(A69, Menu!$A$2:$D$18, 3, FALSE))</f>
        <v/>
      </c>
      <c r="D69" s="16" t="str">
        <f>IF(ISBLANK(A69), "", VLOOKUP(A69, Menu!$A$2:$D$18, 4, FALSE))</f>
        <v/>
      </c>
      <c r="E69" s="17"/>
      <c r="F69" s="16" t="str">
        <f t="shared" si="0"/>
        <v/>
      </c>
    </row>
    <row r="70" spans="1:6" x14ac:dyDescent="0.25">
      <c r="A70" s="17"/>
      <c r="B70" s="15" t="str">
        <f>IF(ISBLANK(A70), "", VLOOKUP(A70, Menu!$A$2:$D$18, 2, FALSE))</f>
        <v/>
      </c>
      <c r="C70" s="15" t="str">
        <f>IF(ISBLANK(A70), "", VLOOKUP(A70, Menu!$A$2:$D$18, 3, FALSE))</f>
        <v/>
      </c>
      <c r="D70" s="16" t="str">
        <f>IF(ISBLANK(A70), "", VLOOKUP(A70, Menu!$A$2:$D$18, 4, FALSE))</f>
        <v/>
      </c>
      <c r="E70" s="17"/>
      <c r="F70" s="16" t="str">
        <f t="shared" si="0"/>
        <v/>
      </c>
    </row>
    <row r="71" spans="1:6" x14ac:dyDescent="0.25">
      <c r="A71" s="17"/>
      <c r="B71" s="15" t="str">
        <f>IF(ISBLANK(A71), "", VLOOKUP(A71, Menu!$A$2:$D$18, 2, FALSE))</f>
        <v/>
      </c>
      <c r="C71" s="15" t="str">
        <f>IF(ISBLANK(A71), "", VLOOKUP(A71, Menu!$A$2:$D$18, 3, FALSE))</f>
        <v/>
      </c>
      <c r="D71" s="16" t="str">
        <f>IF(ISBLANK(A71), "", VLOOKUP(A71, Menu!$A$2:$D$18, 4, FALSE))</f>
        <v/>
      </c>
      <c r="E71" s="17"/>
      <c r="F71" s="16" t="str">
        <f t="shared" si="0"/>
        <v/>
      </c>
    </row>
    <row r="72" spans="1:6" x14ac:dyDescent="0.25">
      <c r="A72" s="17"/>
      <c r="B72" s="15" t="str">
        <f>IF(ISBLANK(A72), "", VLOOKUP(A72, Menu!$A$2:$D$18, 2, FALSE))</f>
        <v/>
      </c>
      <c r="C72" s="15" t="str">
        <f>IF(ISBLANK(A72), "", VLOOKUP(A72, Menu!$A$2:$D$18, 3, FALSE))</f>
        <v/>
      </c>
      <c r="D72" s="16" t="str">
        <f>IF(ISBLANK(A72), "", VLOOKUP(A72, Menu!$A$2:$D$18, 4, FALSE))</f>
        <v/>
      </c>
      <c r="E72" s="17"/>
      <c r="F72" s="16" t="str">
        <f t="shared" si="0"/>
        <v/>
      </c>
    </row>
    <row r="73" spans="1:6" x14ac:dyDescent="0.25">
      <c r="A73" s="17"/>
      <c r="B73" s="15" t="str">
        <f>IF(ISBLANK(A73), "", VLOOKUP(A73, Menu!$A$2:$D$18, 2, FALSE))</f>
        <v/>
      </c>
      <c r="C73" s="15" t="str">
        <f>IF(ISBLANK(A73), "", VLOOKUP(A73, Menu!$A$2:$D$18, 3, FALSE))</f>
        <v/>
      </c>
      <c r="D73" s="16" t="str">
        <f>IF(ISBLANK(A73), "", VLOOKUP(A73, Menu!$A$2:$D$18, 4, FALSE))</f>
        <v/>
      </c>
      <c r="E73" s="17"/>
      <c r="F73" s="16" t="str">
        <f t="shared" ref="F73:F99" si="1">IF(ISBLANK(A73), "", D73*E73)</f>
        <v/>
      </c>
    </row>
    <row r="74" spans="1:6" x14ac:dyDescent="0.25">
      <c r="A74" s="17"/>
      <c r="B74" s="15" t="str">
        <f>IF(ISBLANK(A74), "", VLOOKUP(A74, Menu!$A$2:$D$18, 2, FALSE))</f>
        <v/>
      </c>
      <c r="C74" s="15" t="str">
        <f>IF(ISBLANK(A74), "", VLOOKUP(A74, Menu!$A$2:$D$18, 3, FALSE))</f>
        <v/>
      </c>
      <c r="D74" s="16" t="str">
        <f>IF(ISBLANK(A74), "", VLOOKUP(A74, Menu!$A$2:$D$18, 4, FALSE))</f>
        <v/>
      </c>
      <c r="E74" s="17"/>
      <c r="F74" s="16" t="str">
        <f t="shared" si="1"/>
        <v/>
      </c>
    </row>
    <row r="75" spans="1:6" x14ac:dyDescent="0.25">
      <c r="A75" s="17"/>
      <c r="B75" s="15" t="str">
        <f>IF(ISBLANK(A75), "", VLOOKUP(A75, Menu!$A$2:$D$18, 2, FALSE))</f>
        <v/>
      </c>
      <c r="C75" s="15" t="str">
        <f>IF(ISBLANK(A75), "", VLOOKUP(A75, Menu!$A$2:$D$18, 3, FALSE))</f>
        <v/>
      </c>
      <c r="D75" s="16" t="str">
        <f>IF(ISBLANK(A75), "", VLOOKUP(A75, Menu!$A$2:$D$18, 4, FALSE))</f>
        <v/>
      </c>
      <c r="E75" s="17"/>
      <c r="F75" s="16" t="str">
        <f t="shared" si="1"/>
        <v/>
      </c>
    </row>
    <row r="76" spans="1:6" x14ac:dyDescent="0.25">
      <c r="A76" s="17"/>
      <c r="B76" s="15" t="str">
        <f>IF(ISBLANK(A76), "", VLOOKUP(A76, Menu!$A$2:$D$18, 2, FALSE))</f>
        <v/>
      </c>
      <c r="C76" s="15" t="str">
        <f>IF(ISBLANK(A76), "", VLOOKUP(A76, Menu!$A$2:$D$18, 3, FALSE))</f>
        <v/>
      </c>
      <c r="D76" s="16" t="str">
        <f>IF(ISBLANK(A76), "", VLOOKUP(A76, Menu!$A$2:$D$18, 4, FALSE))</f>
        <v/>
      </c>
      <c r="E76" s="17"/>
      <c r="F76" s="16" t="str">
        <f t="shared" si="1"/>
        <v/>
      </c>
    </row>
    <row r="77" spans="1:6" x14ac:dyDescent="0.25">
      <c r="A77" s="17"/>
      <c r="B77" s="15" t="str">
        <f>IF(ISBLANK(A77), "", VLOOKUP(A77, Menu!$A$2:$D$18, 2, FALSE))</f>
        <v/>
      </c>
      <c r="C77" s="15" t="str">
        <f>IF(ISBLANK(A77), "", VLOOKUP(A77, Menu!$A$2:$D$18, 3, FALSE))</f>
        <v/>
      </c>
      <c r="D77" s="16" t="str">
        <f>IF(ISBLANK(A77), "", VLOOKUP(A77, Menu!$A$2:$D$18, 4, FALSE))</f>
        <v/>
      </c>
      <c r="E77" s="17"/>
      <c r="F77" s="16" t="str">
        <f t="shared" si="1"/>
        <v/>
      </c>
    </row>
    <row r="78" spans="1:6" x14ac:dyDescent="0.25">
      <c r="A78" s="17"/>
      <c r="B78" s="15" t="str">
        <f>IF(ISBLANK(A78), "", VLOOKUP(A78, Menu!$A$2:$D$18, 2, FALSE))</f>
        <v/>
      </c>
      <c r="C78" s="15" t="str">
        <f>IF(ISBLANK(A78), "", VLOOKUP(A78, Menu!$A$2:$D$18, 3, FALSE))</f>
        <v/>
      </c>
      <c r="D78" s="16" t="str">
        <f>IF(ISBLANK(A78), "", VLOOKUP(A78, Menu!$A$2:$D$18, 4, FALSE))</f>
        <v/>
      </c>
      <c r="E78" s="17"/>
      <c r="F78" s="16" t="str">
        <f t="shared" si="1"/>
        <v/>
      </c>
    </row>
    <row r="79" spans="1:6" x14ac:dyDescent="0.25">
      <c r="A79" s="17"/>
      <c r="B79" s="15" t="str">
        <f>IF(ISBLANK(A79), "", VLOOKUP(A79, Menu!$A$2:$D$18, 2, FALSE))</f>
        <v/>
      </c>
      <c r="C79" s="15" t="str">
        <f>IF(ISBLANK(A79), "", VLOOKUP(A79, Menu!$A$2:$D$18, 3, FALSE))</f>
        <v/>
      </c>
      <c r="D79" s="16" t="str">
        <f>IF(ISBLANK(A79), "", VLOOKUP(A79, Menu!$A$2:$D$18, 4, FALSE))</f>
        <v/>
      </c>
      <c r="E79" s="17"/>
      <c r="F79" s="16" t="str">
        <f t="shared" si="1"/>
        <v/>
      </c>
    </row>
    <row r="80" spans="1:6" x14ac:dyDescent="0.25">
      <c r="A80" s="17"/>
      <c r="B80" s="15" t="str">
        <f>IF(ISBLANK(A80), "", VLOOKUP(A80, Menu!$A$2:$D$18, 2, FALSE))</f>
        <v/>
      </c>
      <c r="C80" s="15" t="str">
        <f>IF(ISBLANK(A80), "", VLOOKUP(A80, Menu!$A$2:$D$18, 3, FALSE))</f>
        <v/>
      </c>
      <c r="D80" s="16" t="str">
        <f>IF(ISBLANK(A80), "", VLOOKUP(A80, Menu!$A$2:$D$18, 4, FALSE))</f>
        <v/>
      </c>
      <c r="E80" s="17"/>
      <c r="F80" s="16" t="str">
        <f t="shared" si="1"/>
        <v/>
      </c>
    </row>
    <row r="81" spans="1:6" x14ac:dyDescent="0.25">
      <c r="A81" s="17"/>
      <c r="B81" s="15" t="str">
        <f>IF(ISBLANK(A81), "", VLOOKUP(A81, Menu!$A$2:$D$18, 2, FALSE))</f>
        <v/>
      </c>
      <c r="C81" s="15" t="str">
        <f>IF(ISBLANK(A81), "", VLOOKUP(A81, Menu!$A$2:$D$18, 3, FALSE))</f>
        <v/>
      </c>
      <c r="D81" s="16" t="str">
        <f>IF(ISBLANK(A81), "", VLOOKUP(A81, Menu!$A$2:$D$18, 4, FALSE))</f>
        <v/>
      </c>
      <c r="E81" s="17"/>
      <c r="F81" s="16" t="str">
        <f t="shared" si="1"/>
        <v/>
      </c>
    </row>
    <row r="82" spans="1:6" x14ac:dyDescent="0.25">
      <c r="A82" s="17"/>
      <c r="B82" s="15" t="str">
        <f>IF(ISBLANK(A82), "", VLOOKUP(A82, Menu!$A$2:$D$18, 2, FALSE))</f>
        <v/>
      </c>
      <c r="C82" s="15" t="str">
        <f>IF(ISBLANK(A82), "", VLOOKUP(A82, Menu!$A$2:$D$18, 3, FALSE))</f>
        <v/>
      </c>
      <c r="D82" s="16" t="str">
        <f>IF(ISBLANK(A82), "", VLOOKUP(A82, Menu!$A$2:$D$18, 4, FALSE))</f>
        <v/>
      </c>
      <c r="E82" s="17"/>
      <c r="F82" s="16" t="str">
        <f t="shared" si="1"/>
        <v/>
      </c>
    </row>
    <row r="83" spans="1:6" x14ac:dyDescent="0.25">
      <c r="A83" s="17"/>
      <c r="B83" s="15" t="str">
        <f>IF(ISBLANK(A83), "", VLOOKUP(A83, Menu!$A$2:$D$18, 2, FALSE))</f>
        <v/>
      </c>
      <c r="C83" s="15" t="str">
        <f>IF(ISBLANK(A83), "", VLOOKUP(A83, Menu!$A$2:$D$18, 3, FALSE))</f>
        <v/>
      </c>
      <c r="D83" s="16" t="str">
        <f>IF(ISBLANK(A83), "", VLOOKUP(A83, Menu!$A$2:$D$18, 4, FALSE))</f>
        <v/>
      </c>
      <c r="E83" s="17"/>
      <c r="F83" s="16" t="str">
        <f t="shared" si="1"/>
        <v/>
      </c>
    </row>
    <row r="84" spans="1:6" x14ac:dyDescent="0.25">
      <c r="A84" s="17"/>
      <c r="B84" s="15" t="str">
        <f>IF(ISBLANK(A84), "", VLOOKUP(A84, Menu!$A$2:$D$18, 2, FALSE))</f>
        <v/>
      </c>
      <c r="C84" s="15" t="str">
        <f>IF(ISBLANK(A84), "", VLOOKUP(A84, Menu!$A$2:$D$18, 3, FALSE))</f>
        <v/>
      </c>
      <c r="D84" s="16" t="str">
        <f>IF(ISBLANK(A84), "", VLOOKUP(A84, Menu!$A$2:$D$18, 4, FALSE))</f>
        <v/>
      </c>
      <c r="E84" s="17"/>
      <c r="F84" s="16" t="str">
        <f t="shared" si="1"/>
        <v/>
      </c>
    </row>
    <row r="85" spans="1:6" x14ac:dyDescent="0.25">
      <c r="A85" s="17"/>
      <c r="B85" s="15" t="str">
        <f>IF(ISBLANK(A85), "", VLOOKUP(A85, Menu!$A$2:$D$18, 2, FALSE))</f>
        <v/>
      </c>
      <c r="C85" s="15" t="str">
        <f>IF(ISBLANK(A85), "", VLOOKUP(A85, Menu!$A$2:$D$18, 3, FALSE))</f>
        <v/>
      </c>
      <c r="D85" s="16" t="str">
        <f>IF(ISBLANK(A85), "", VLOOKUP(A85, Menu!$A$2:$D$18, 4, FALSE))</f>
        <v/>
      </c>
      <c r="E85" s="17"/>
      <c r="F85" s="16" t="str">
        <f t="shared" si="1"/>
        <v/>
      </c>
    </row>
    <row r="86" spans="1:6" x14ac:dyDescent="0.25">
      <c r="A86" s="17"/>
      <c r="B86" s="15" t="str">
        <f>IF(ISBLANK(A86), "", VLOOKUP(A86, Menu!$A$2:$D$18, 2, FALSE))</f>
        <v/>
      </c>
      <c r="C86" s="15" t="str">
        <f>IF(ISBLANK(A86), "", VLOOKUP(A86, Menu!$A$2:$D$18, 3, FALSE))</f>
        <v/>
      </c>
      <c r="D86" s="16" t="str">
        <f>IF(ISBLANK(A86), "", VLOOKUP(A86, Menu!$A$2:$D$18, 4, FALSE))</f>
        <v/>
      </c>
      <c r="E86" s="17"/>
      <c r="F86" s="16" t="str">
        <f t="shared" si="1"/>
        <v/>
      </c>
    </row>
    <row r="87" spans="1:6" x14ac:dyDescent="0.25">
      <c r="A87" s="17"/>
      <c r="B87" s="15" t="str">
        <f>IF(ISBLANK(A87), "", VLOOKUP(A87, Menu!$A$2:$D$18, 2, FALSE))</f>
        <v/>
      </c>
      <c r="C87" s="15" t="str">
        <f>IF(ISBLANK(A87), "", VLOOKUP(A87, Menu!$A$2:$D$18, 3, FALSE))</f>
        <v/>
      </c>
      <c r="D87" s="16" t="str">
        <f>IF(ISBLANK(A87), "", VLOOKUP(A87, Menu!$A$2:$D$18, 4, FALSE))</f>
        <v/>
      </c>
      <c r="E87" s="17"/>
      <c r="F87" s="16" t="str">
        <f t="shared" si="1"/>
        <v/>
      </c>
    </row>
    <row r="88" spans="1:6" x14ac:dyDescent="0.25">
      <c r="A88" s="17"/>
      <c r="B88" s="15" t="str">
        <f>IF(ISBLANK(A88), "", VLOOKUP(A88, Menu!$A$2:$D$18, 2, FALSE))</f>
        <v/>
      </c>
      <c r="C88" s="15" t="str">
        <f>IF(ISBLANK(A88), "", VLOOKUP(A88, Menu!$A$2:$D$18, 3, FALSE))</f>
        <v/>
      </c>
      <c r="D88" s="16" t="str">
        <f>IF(ISBLANK(A88), "", VLOOKUP(A88, Menu!$A$2:$D$18, 4, FALSE))</f>
        <v/>
      </c>
      <c r="E88" s="17"/>
      <c r="F88" s="16" t="str">
        <f t="shared" si="1"/>
        <v/>
      </c>
    </row>
    <row r="89" spans="1:6" x14ac:dyDescent="0.25">
      <c r="A89" s="17"/>
      <c r="B89" s="15" t="str">
        <f>IF(ISBLANK(A89), "", VLOOKUP(A89, Menu!$A$2:$D$18, 2, FALSE))</f>
        <v/>
      </c>
      <c r="C89" s="15" t="str">
        <f>IF(ISBLANK(A89), "", VLOOKUP(A89, Menu!$A$2:$D$18, 3, FALSE))</f>
        <v/>
      </c>
      <c r="D89" s="16" t="str">
        <f>IF(ISBLANK(A89), "", VLOOKUP(A89, Menu!$A$2:$D$18, 4, FALSE))</f>
        <v/>
      </c>
      <c r="E89" s="17"/>
      <c r="F89" s="16" t="str">
        <f t="shared" si="1"/>
        <v/>
      </c>
    </row>
    <row r="90" spans="1:6" x14ac:dyDescent="0.25">
      <c r="A90" s="17"/>
      <c r="B90" s="15" t="str">
        <f>IF(ISBLANK(A90), "", VLOOKUP(A90, Menu!$A$2:$D$18, 2, FALSE))</f>
        <v/>
      </c>
      <c r="C90" s="15" t="str">
        <f>IF(ISBLANK(A90), "", VLOOKUP(A90, Menu!$A$2:$D$18, 3, FALSE))</f>
        <v/>
      </c>
      <c r="D90" s="16" t="str">
        <f>IF(ISBLANK(A90), "", VLOOKUP(A90, Menu!$A$2:$D$18, 4, FALSE))</f>
        <v/>
      </c>
      <c r="E90" s="17"/>
      <c r="F90" s="16" t="str">
        <f t="shared" si="1"/>
        <v/>
      </c>
    </row>
    <row r="91" spans="1:6" x14ac:dyDescent="0.25">
      <c r="A91" s="17"/>
      <c r="B91" s="15" t="str">
        <f>IF(ISBLANK(A91), "", VLOOKUP(A91, Menu!$A$2:$D$18, 2, FALSE))</f>
        <v/>
      </c>
      <c r="C91" s="15" t="str">
        <f>IF(ISBLANK(A91), "", VLOOKUP(A91, Menu!$A$2:$D$18, 3, FALSE))</f>
        <v/>
      </c>
      <c r="D91" s="16" t="str">
        <f>IF(ISBLANK(A91), "", VLOOKUP(A91, Menu!$A$2:$D$18, 4, FALSE))</f>
        <v/>
      </c>
      <c r="E91" s="17"/>
      <c r="F91" s="16" t="str">
        <f t="shared" si="1"/>
        <v/>
      </c>
    </row>
    <row r="92" spans="1:6" x14ac:dyDescent="0.25">
      <c r="A92" s="17"/>
      <c r="B92" s="15" t="str">
        <f>IF(ISBLANK(A92), "", VLOOKUP(A92, Menu!$A$2:$D$18, 2, FALSE))</f>
        <v/>
      </c>
      <c r="C92" s="15" t="str">
        <f>IF(ISBLANK(A92), "", VLOOKUP(A92, Menu!$A$2:$D$18, 3, FALSE))</f>
        <v/>
      </c>
      <c r="D92" s="16" t="str">
        <f>IF(ISBLANK(A92), "", VLOOKUP(A92, Menu!$A$2:$D$18, 4, FALSE))</f>
        <v/>
      </c>
      <c r="E92" s="17"/>
      <c r="F92" s="16" t="str">
        <f t="shared" si="1"/>
        <v/>
      </c>
    </row>
    <row r="93" spans="1:6" x14ac:dyDescent="0.25">
      <c r="A93" s="17"/>
      <c r="B93" s="15" t="str">
        <f>IF(ISBLANK(A93), "", VLOOKUP(A93, Menu!$A$2:$D$18, 2, FALSE))</f>
        <v/>
      </c>
      <c r="C93" s="15" t="str">
        <f>IF(ISBLANK(A93), "", VLOOKUP(A93, Menu!$A$2:$D$18, 3, FALSE))</f>
        <v/>
      </c>
      <c r="D93" s="16" t="str">
        <f>IF(ISBLANK(A93), "", VLOOKUP(A93, Menu!$A$2:$D$18, 4, FALSE))</f>
        <v/>
      </c>
      <c r="E93" s="17"/>
      <c r="F93" s="16" t="str">
        <f t="shared" si="1"/>
        <v/>
      </c>
    </row>
    <row r="94" spans="1:6" x14ac:dyDescent="0.25">
      <c r="A94" s="17"/>
      <c r="B94" s="15" t="str">
        <f>IF(ISBLANK(A94), "", VLOOKUP(A94, Menu!$A$2:$D$18, 2, FALSE))</f>
        <v/>
      </c>
      <c r="C94" s="15" t="str">
        <f>IF(ISBLANK(A94), "", VLOOKUP(A94, Menu!$A$2:$D$18, 3, FALSE))</f>
        <v/>
      </c>
      <c r="D94" s="16" t="str">
        <f>IF(ISBLANK(A94), "", VLOOKUP(A94, Menu!$A$2:$D$18, 4, FALSE))</f>
        <v/>
      </c>
      <c r="E94" s="17"/>
      <c r="F94" s="16" t="str">
        <f t="shared" si="1"/>
        <v/>
      </c>
    </row>
    <row r="95" spans="1:6" x14ac:dyDescent="0.25">
      <c r="A95" s="17"/>
      <c r="B95" s="15" t="str">
        <f>IF(ISBLANK(A95), "", VLOOKUP(A95, Menu!$A$2:$D$18, 2, FALSE))</f>
        <v/>
      </c>
      <c r="C95" s="15" t="str">
        <f>IF(ISBLANK(A95), "", VLOOKUP(A95, Menu!$A$2:$D$18, 3, FALSE))</f>
        <v/>
      </c>
      <c r="D95" s="16" t="str">
        <f>IF(ISBLANK(A95), "", VLOOKUP(A95, Menu!$A$2:$D$18, 4, FALSE))</f>
        <v/>
      </c>
      <c r="E95" s="17"/>
      <c r="F95" s="16" t="str">
        <f t="shared" si="1"/>
        <v/>
      </c>
    </row>
    <row r="96" spans="1:6" x14ac:dyDescent="0.25">
      <c r="A96" s="17"/>
      <c r="B96" s="15" t="str">
        <f>IF(ISBLANK(A96), "", VLOOKUP(A96, Menu!$A$2:$D$18, 2, FALSE))</f>
        <v/>
      </c>
      <c r="C96" s="15" t="str">
        <f>IF(ISBLANK(A96), "", VLOOKUP(A96, Menu!$A$2:$D$18, 3, FALSE))</f>
        <v/>
      </c>
      <c r="D96" s="16" t="str">
        <f>IF(ISBLANK(A96), "", VLOOKUP(A96, Menu!$A$2:$D$18, 4, FALSE))</f>
        <v/>
      </c>
      <c r="E96" s="17"/>
      <c r="F96" s="16" t="str">
        <f t="shared" si="1"/>
        <v/>
      </c>
    </row>
    <row r="97" spans="1:6" x14ac:dyDescent="0.25">
      <c r="A97" s="17"/>
      <c r="B97" s="15" t="str">
        <f>IF(ISBLANK(A97), "", VLOOKUP(A97, Menu!$A$2:$D$18, 2, FALSE))</f>
        <v/>
      </c>
      <c r="C97" s="15" t="str">
        <f>IF(ISBLANK(A97), "", VLOOKUP(A97, Menu!$A$2:$D$18, 3, FALSE))</f>
        <v/>
      </c>
      <c r="D97" s="16" t="str">
        <f>IF(ISBLANK(A97), "", VLOOKUP(A97, Menu!$A$2:$D$18, 4, FALSE))</f>
        <v/>
      </c>
      <c r="E97" s="17"/>
      <c r="F97" s="16" t="str">
        <f t="shared" si="1"/>
        <v/>
      </c>
    </row>
    <row r="98" spans="1:6" x14ac:dyDescent="0.25">
      <c r="A98" s="17"/>
      <c r="B98" s="15" t="str">
        <f>IF(ISBLANK(A98), "", VLOOKUP(A98, Menu!$A$2:$D$18, 2, FALSE))</f>
        <v/>
      </c>
      <c r="C98" s="15" t="str">
        <f>IF(ISBLANK(A98), "", VLOOKUP(A98, Menu!$A$2:$D$18, 3, FALSE))</f>
        <v/>
      </c>
      <c r="D98" s="16" t="str">
        <f>IF(ISBLANK(A98), "", VLOOKUP(A98, Menu!$A$2:$D$18, 4, FALSE))</f>
        <v/>
      </c>
      <c r="E98" s="17"/>
      <c r="F98" s="16" t="str">
        <f t="shared" si="1"/>
        <v/>
      </c>
    </row>
    <row r="99" spans="1:6" x14ac:dyDescent="0.25">
      <c r="A99" s="17"/>
      <c r="B99" s="15" t="str">
        <f>IF(ISBLANK(A99), "", VLOOKUP(A99, Menu!$A$2:$D$18, 2, FALSE))</f>
        <v/>
      </c>
      <c r="C99" s="15" t="str">
        <f>IF(ISBLANK(A99), "", VLOOKUP(A99, Menu!$A$2:$D$18, 3, FALSE))</f>
        <v/>
      </c>
      <c r="D99" s="16" t="str">
        <f>IF(ISBLANK(A99), "", VLOOKUP(A99, Menu!$A$2:$D$18, 4, FALSE))</f>
        <v/>
      </c>
      <c r="E99" s="17"/>
      <c r="F99" s="16" t="str">
        <f t="shared" si="1"/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8"/>
  <sheetViews>
    <sheetView workbookViewId="0">
      <selection activeCell="A2" sqref="A2"/>
    </sheetView>
  </sheetViews>
  <sheetFormatPr defaultRowHeight="15" x14ac:dyDescent="0.25"/>
  <cols>
    <col min="1" max="1" width="14" customWidth="1"/>
    <col min="2" max="2" width="57" customWidth="1"/>
    <col min="3" max="3" width="48" customWidth="1"/>
    <col min="4" max="4" width="14" customWidth="1"/>
  </cols>
  <sheetData>
    <row r="1" spans="1:4" x14ac:dyDescent="0.25">
      <c r="A1" t="s">
        <v>30</v>
      </c>
      <c r="B1" t="s">
        <v>9</v>
      </c>
      <c r="C1" t="s">
        <v>10</v>
      </c>
      <c r="D1" t="s">
        <v>31</v>
      </c>
    </row>
    <row r="2" spans="1:4" x14ac:dyDescent="0.25">
      <c r="A2">
        <v>1</v>
      </c>
      <c r="B2" t="s">
        <v>32</v>
      </c>
      <c r="C2" t="s">
        <v>33</v>
      </c>
      <c r="D2">
        <v>250</v>
      </c>
    </row>
    <row r="3" spans="1:4" x14ac:dyDescent="0.25">
      <c r="A3">
        <v>2</v>
      </c>
      <c r="B3" t="s">
        <v>34</v>
      </c>
      <c r="C3" t="s">
        <v>35</v>
      </c>
      <c r="D3">
        <v>350</v>
      </c>
    </row>
    <row r="4" spans="1:4" x14ac:dyDescent="0.25">
      <c r="A4">
        <v>3</v>
      </c>
      <c r="B4" t="s">
        <v>36</v>
      </c>
      <c r="C4" t="s">
        <v>37</v>
      </c>
      <c r="D4">
        <v>300</v>
      </c>
    </row>
    <row r="5" spans="1:4" x14ac:dyDescent="0.25">
      <c r="A5">
        <v>4</v>
      </c>
      <c r="B5" t="s">
        <v>38</v>
      </c>
      <c r="C5" t="s">
        <v>39</v>
      </c>
      <c r="D5">
        <v>300</v>
      </c>
    </row>
    <row r="6" spans="1:4" x14ac:dyDescent="0.25">
      <c r="A6">
        <v>5</v>
      </c>
      <c r="B6" t="s">
        <v>40</v>
      </c>
      <c r="C6" t="s">
        <v>41</v>
      </c>
      <c r="D6">
        <v>450</v>
      </c>
    </row>
    <row r="7" spans="1:4" x14ac:dyDescent="0.25">
      <c r="A7">
        <v>6</v>
      </c>
      <c r="B7" t="s">
        <v>42</v>
      </c>
      <c r="C7" t="s">
        <v>43</v>
      </c>
      <c r="D7">
        <v>350</v>
      </c>
    </row>
    <row r="8" spans="1:4" x14ac:dyDescent="0.25">
      <c r="A8">
        <v>7</v>
      </c>
      <c r="B8" t="s">
        <v>44</v>
      </c>
      <c r="C8" t="s">
        <v>45</v>
      </c>
      <c r="D8">
        <v>300</v>
      </c>
    </row>
    <row r="9" spans="1:4" x14ac:dyDescent="0.25">
      <c r="A9">
        <v>8</v>
      </c>
      <c r="B9" t="s">
        <v>46</v>
      </c>
      <c r="C9" t="s">
        <v>47</v>
      </c>
      <c r="D9">
        <v>300</v>
      </c>
    </row>
    <row r="10" spans="1:4" x14ac:dyDescent="0.25">
      <c r="A10">
        <v>9</v>
      </c>
      <c r="B10" t="s">
        <v>48</v>
      </c>
      <c r="C10" t="s">
        <v>49</v>
      </c>
      <c r="D10">
        <v>1200</v>
      </c>
    </row>
    <row r="11" spans="1:4" x14ac:dyDescent="0.25">
      <c r="A11">
        <v>10</v>
      </c>
      <c r="B11" t="s">
        <v>50</v>
      </c>
      <c r="C11" t="s">
        <v>51</v>
      </c>
      <c r="D11">
        <v>400</v>
      </c>
    </row>
    <row r="12" spans="1:4" x14ac:dyDescent="0.25">
      <c r="A12">
        <v>11</v>
      </c>
      <c r="B12" t="s">
        <v>52</v>
      </c>
      <c r="C12" t="s">
        <v>53</v>
      </c>
      <c r="D12">
        <v>450</v>
      </c>
    </row>
    <row r="13" spans="1:4" x14ac:dyDescent="0.25">
      <c r="A13">
        <v>12</v>
      </c>
      <c r="B13" t="s">
        <v>54</v>
      </c>
      <c r="C13" t="s">
        <v>55</v>
      </c>
      <c r="D13">
        <v>450</v>
      </c>
    </row>
    <row r="14" spans="1:4" x14ac:dyDescent="0.25">
      <c r="A14">
        <v>13</v>
      </c>
      <c r="B14" t="s">
        <v>56</v>
      </c>
      <c r="C14" t="s">
        <v>57</v>
      </c>
      <c r="D14">
        <v>350</v>
      </c>
    </row>
    <row r="15" spans="1:4" x14ac:dyDescent="0.25">
      <c r="A15">
        <v>14</v>
      </c>
      <c r="B15" t="s">
        <v>58</v>
      </c>
      <c r="C15" t="s">
        <v>59</v>
      </c>
      <c r="D15">
        <v>300</v>
      </c>
    </row>
    <row r="16" spans="1:4" x14ac:dyDescent="0.25">
      <c r="A16">
        <v>15</v>
      </c>
      <c r="B16" t="s">
        <v>60</v>
      </c>
      <c r="C16" t="s">
        <v>61</v>
      </c>
      <c r="D16">
        <v>350</v>
      </c>
    </row>
    <row r="17" spans="1:4" x14ac:dyDescent="0.25">
      <c r="A17">
        <v>16</v>
      </c>
      <c r="B17" t="s">
        <v>62</v>
      </c>
      <c r="C17" t="s">
        <v>63</v>
      </c>
      <c r="D17">
        <v>250</v>
      </c>
    </row>
    <row r="18" spans="1:4" x14ac:dyDescent="0.25">
      <c r="A18">
        <v>17</v>
      </c>
      <c r="B18" t="s">
        <v>64</v>
      </c>
      <c r="C18" t="s">
        <v>65</v>
      </c>
      <c r="D18">
        <v>350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9EC52-A4F7-4326-9F5E-AAEC8159AF1F}">
  <sheetPr codeName="Sheet10"/>
  <dimension ref="A1:F92"/>
  <sheetViews>
    <sheetView workbookViewId="0">
      <selection activeCell="B1" sqref="B1"/>
    </sheetView>
  </sheetViews>
  <sheetFormatPr defaultRowHeight="15" x14ac:dyDescent="0.25"/>
  <sheetData>
    <row r="1" spans="1:6" x14ac:dyDescent="0.25">
      <c r="A1" s="17">
        <v>6</v>
      </c>
      <c r="B1" s="15" t="str">
        <f>IF(ISBLANK(A1), "", VLOOKUP(A1, Menu!$A$2:$D$18, 2, FALSE))</f>
        <v>The StarC Cappuccino</v>
      </c>
      <c r="C1" s="15" t="str">
        <f>IF(ISBLANK(A1), "", VLOOKUP(A1, Menu!$A$2:$D$18, 3, FALSE))</f>
        <v>كابتشينو ستار سي</v>
      </c>
      <c r="D1" s="16">
        <f>IF(ISBLANK(A1), "", VLOOKUP(A1, Menu!$A$2:$D$18, 4, FALSE))</f>
        <v>350</v>
      </c>
      <c r="E1" s="17">
        <v>2</v>
      </c>
      <c r="F1" s="16">
        <f>IF(ISBLANK(A1), "", D1*E1)</f>
        <v>700</v>
      </c>
    </row>
    <row r="2" spans="1:6" x14ac:dyDescent="0.25">
      <c r="A2" s="17">
        <v>7</v>
      </c>
      <c r="B2" s="15" t="str">
        <f>IF(ISBLANK(A2), "", VLOOKUP(A2, Menu!$A$2:$D$18, 2, FALSE))</f>
        <v>Ristretto</v>
      </c>
      <c r="C2" s="15" t="str">
        <f>IF(ISBLANK(A2), "", VLOOKUP(A2, Menu!$A$2:$D$18, 3, FALSE))</f>
        <v>ريستريتو</v>
      </c>
      <c r="D2" s="16">
        <f>IF(ISBLANK(A2), "", VLOOKUP(A2, Menu!$A$2:$D$18, 4, FALSE))</f>
        <v>300</v>
      </c>
      <c r="E2" s="17">
        <v>3</v>
      </c>
      <c r="F2" s="16">
        <f t="shared" ref="F2:F65" si="0">IF(ISBLANK(A2), "", D2*E2)</f>
        <v>900</v>
      </c>
    </row>
    <row r="3" spans="1:6" x14ac:dyDescent="0.25">
      <c r="A3" s="17">
        <v>8</v>
      </c>
      <c r="B3" s="15" t="str">
        <f>IF(ISBLANK(A3), "", VLOOKUP(A3, Menu!$A$2:$D$18, 2, FALSE))</f>
        <v>The StarC Batch Brew</v>
      </c>
      <c r="C3" s="15" t="str">
        <f>IF(ISBLANK(A3), "", VLOOKUP(A3, Menu!$A$2:$D$18, 3, FALSE))</f>
        <v>قهوه ستار سي المقطره (باتش بريو)</v>
      </c>
      <c r="D3" s="16">
        <f>IF(ISBLANK(A3), "", VLOOKUP(A3, Menu!$A$2:$D$18, 4, FALSE))</f>
        <v>300</v>
      </c>
      <c r="E3" s="17">
        <v>4</v>
      </c>
      <c r="F3" s="16">
        <f t="shared" si="0"/>
        <v>1200</v>
      </c>
    </row>
    <row r="4" spans="1:6" x14ac:dyDescent="0.25">
      <c r="A4" s="17">
        <v>9</v>
      </c>
      <c r="B4" s="15" t="str">
        <f>IF(ISBLANK(A4), "", VLOOKUP(A4, Menu!$A$2:$D$18, 2, FALSE))</f>
        <v>The StarC 1L Pot</v>
      </c>
      <c r="C4" s="15" t="str">
        <f>IF(ISBLANK(A4), "", VLOOKUP(A4, Menu!$A$2:$D$18, 3, FALSE))</f>
        <v>إبريق ستار سي (1 ليتر)</v>
      </c>
      <c r="D4" s="16">
        <f>IF(ISBLANK(A4), "", VLOOKUP(A4, Menu!$A$2:$D$18, 4, FALSE))</f>
        <v>1200</v>
      </c>
      <c r="E4" s="17">
        <v>5</v>
      </c>
      <c r="F4" s="16">
        <f t="shared" si="0"/>
        <v>6000</v>
      </c>
    </row>
    <row r="5" spans="1:6" x14ac:dyDescent="0.25">
      <c r="A5" s="17">
        <v>10</v>
      </c>
      <c r="B5" s="15" t="str">
        <f>IF(ISBLANK(A5), "", VLOOKUP(A5, Menu!$A$2:$D$18, 2, FALSE))</f>
        <v>Clouds of Cocoa (Artisan Hot Chocolate)</v>
      </c>
      <c r="C5" s="15" t="str">
        <f>IF(ISBLANK(A5), "", VLOOKUP(A5, Menu!$A$2:$D$18, 3, FALSE))</f>
        <v>الشوكولاتة الساخنة الفاخرة</v>
      </c>
      <c r="D5" s="16">
        <f>IF(ISBLANK(A5), "", VLOOKUP(A5, Menu!$A$2:$D$18, 4, FALSE))</f>
        <v>400</v>
      </c>
      <c r="E5" s="17">
        <v>6</v>
      </c>
      <c r="F5" s="16">
        <f t="shared" si="0"/>
        <v>2400</v>
      </c>
    </row>
    <row r="6" spans="1:6" x14ac:dyDescent="0.25">
      <c r="A6" s="17">
        <v>11</v>
      </c>
      <c r="B6" s="15" t="str">
        <f>IF(ISBLANK(A6), "", VLOOKUP(A6, Menu!$A$2:$D$18, 2, FALSE))</f>
        <v>The Frost-Crown Cold Foam Latte</v>
      </c>
      <c r="C6" s="15" t="str">
        <f>IF(ISBLANK(A6), "", VLOOKUP(A6, Menu!$A$2:$D$18, 3, FALSE))</f>
        <v>لاتيه الرعوه البارده (التاج الثلجي)</v>
      </c>
      <c r="D6" s="16">
        <f>IF(ISBLANK(A6), "", VLOOKUP(A6, Menu!$A$2:$D$18, 4, FALSE))</f>
        <v>450</v>
      </c>
      <c r="E6" s="17">
        <v>7</v>
      </c>
      <c r="F6" s="16">
        <f t="shared" si="0"/>
        <v>3150</v>
      </c>
    </row>
    <row r="7" spans="1:6" x14ac:dyDescent="0.25">
      <c r="A7" s="17">
        <v>12</v>
      </c>
      <c r="B7" s="15" t="str">
        <f>IF(ISBLANK(A7), "", VLOOKUP(A7, Menu!$A$2:$D$18, 2, FALSE))</f>
        <v>Silk-Road Iced Latte</v>
      </c>
      <c r="C7" s="15" t="str">
        <f>IF(ISBLANK(A7), "", VLOOKUP(A7, Menu!$A$2:$D$18, 3, FALSE))</f>
        <v>آيس لاتيه طريق الحرير</v>
      </c>
      <c r="D7" s="16">
        <f>IF(ISBLANK(A7), "", VLOOKUP(A7, Menu!$A$2:$D$18, 4, FALSE))</f>
        <v>450</v>
      </c>
      <c r="E7" s="17">
        <v>8</v>
      </c>
      <c r="F7" s="16">
        <f t="shared" si="0"/>
        <v>3600</v>
      </c>
    </row>
    <row r="8" spans="1:6" x14ac:dyDescent="0.25">
      <c r="A8" s="17">
        <v>13</v>
      </c>
      <c r="B8" s="15" t="str">
        <f>IF(ISBLANK(A8), "", VLOOKUP(A8, Menu!$A$2:$D$18, 2, FALSE))</f>
        <v>Arctic Iced Americano</v>
      </c>
      <c r="C8" s="15" t="str">
        <f>IF(ISBLANK(A8), "", VLOOKUP(A8, Menu!$A$2:$D$18, 3, FALSE))</f>
        <v>آيس أمريكانو القطب الشمالي</v>
      </c>
      <c r="D8" s="16">
        <f>IF(ISBLANK(A8), "", VLOOKUP(A8, Menu!$A$2:$D$18, 4, FALSE))</f>
        <v>350</v>
      </c>
      <c r="E8" s="17">
        <v>9</v>
      </c>
      <c r="F8" s="16">
        <f t="shared" si="0"/>
        <v>3150</v>
      </c>
    </row>
    <row r="9" spans="1:6" x14ac:dyDescent="0.25">
      <c r="A9" s="17">
        <v>14</v>
      </c>
      <c r="B9" s="15" t="str">
        <f>IF(ISBLANK(A9), "", VLOOKUP(A9, Menu!$A$2:$D$18, 2, FALSE))</f>
        <v>Shaken Iced Espresso</v>
      </c>
      <c r="C9" s="15" t="str">
        <f>IF(ISBLANK(A9), "", VLOOKUP(A9, Menu!$A$2:$D$18, 3, FALSE))</f>
        <v>آيس إسبريسوه مخفوق</v>
      </c>
      <c r="D9" s="16">
        <f>IF(ISBLANK(A9), "", VLOOKUP(A9, Menu!$A$2:$D$18, 4, FALSE))</f>
        <v>300</v>
      </c>
      <c r="E9" s="17">
        <v>10</v>
      </c>
      <c r="F9" s="16">
        <f t="shared" si="0"/>
        <v>3000</v>
      </c>
    </row>
    <row r="10" spans="1:6" x14ac:dyDescent="0.25">
      <c r="A10" s="17">
        <v>15</v>
      </c>
      <c r="B10" s="15" t="str">
        <f>IF(ISBLANK(A10), "", VLOOKUP(A10, Menu!$A$2:$D$18, 2, FALSE))</f>
        <v>Iced Cappuccino Cloud</v>
      </c>
      <c r="C10" s="15" t="str">
        <f>IF(ISBLANK(A10), "", VLOOKUP(A10, Menu!$A$2:$D$18, 3, FALSE))</f>
        <v>آيس كابتشينو الغيمة</v>
      </c>
      <c r="D10" s="16">
        <f>IF(ISBLANK(A10), "", VLOOKUP(A10, Menu!$A$2:$D$18, 4, FALSE))</f>
        <v>350</v>
      </c>
      <c r="E10" s="17">
        <v>11</v>
      </c>
      <c r="F10" s="16">
        <f t="shared" si="0"/>
        <v>3850</v>
      </c>
    </row>
    <row r="11" spans="1:6" x14ac:dyDescent="0.25">
      <c r="A11" s="17">
        <v>16</v>
      </c>
      <c r="B11" s="15" t="str">
        <f>IF(ISBLANK(A11), "", VLOOKUP(A11, Menu!$A$2:$D$18, 2, FALSE))</f>
        <v>The Levantine Pearl (Authentic Turkish/Syrian Coffee)</v>
      </c>
      <c r="C11" s="15" t="str">
        <f>IF(ISBLANK(A11), "", VLOOKUP(A11, Menu!$A$2:$D$18, 3, FALSE))</f>
        <v>لؤلؤة الشام (القهوه التركية/السورية الأصيلة)</v>
      </c>
      <c r="D11" s="16">
        <f>IF(ISBLANK(A11), "", VLOOKUP(A11, Menu!$A$2:$D$18, 4, FALSE))</f>
        <v>250</v>
      </c>
      <c r="E11" s="17">
        <v>12</v>
      </c>
      <c r="F11" s="16">
        <f t="shared" si="0"/>
        <v>3000</v>
      </c>
    </row>
    <row r="12" spans="1:6" x14ac:dyDescent="0.25">
      <c r="A12" s="17">
        <v>17</v>
      </c>
      <c r="B12" s="15" t="str">
        <f>IF(ISBLANK(A12), "", VLOOKUP(A12, Menu!$A$2:$D$18, 2, FALSE))</f>
        <v>Classic Italian Moka</v>
      </c>
      <c r="C12" s="15" t="str">
        <f>IF(ISBLANK(A12), "", VLOOKUP(A12, Menu!$A$2:$D$18, 3, FALSE))</f>
        <v>موكا إيطالي كلاسيكي</v>
      </c>
      <c r="D12" s="16">
        <f>IF(ISBLANK(A12), "", VLOOKUP(A12, Menu!$A$2:$D$18, 4, FALSE))</f>
        <v>350</v>
      </c>
      <c r="E12" s="17">
        <v>13</v>
      </c>
      <c r="F12" s="16">
        <f t="shared" si="0"/>
        <v>4550</v>
      </c>
    </row>
    <row r="13" spans="1:6" x14ac:dyDescent="0.25">
      <c r="A13" s="17">
        <v>5</v>
      </c>
      <c r="B13" s="15" t="str">
        <f>IF(ISBLANK(A13), "", VLOOKUP(A13, Menu!$A$2:$D$18, 2, FALSE))</f>
        <v>Signature Caffè Latte</v>
      </c>
      <c r="C13" s="15" t="str">
        <f>IF(ISBLANK(A13), "", VLOOKUP(A13, Menu!$A$2:$D$18, 3, FALSE))</f>
        <v>كافيه لاتيه المتميز</v>
      </c>
      <c r="D13" s="16">
        <f>IF(ISBLANK(A13), "", VLOOKUP(A13, Menu!$A$2:$D$18, 4, FALSE))</f>
        <v>450</v>
      </c>
      <c r="E13" s="17">
        <v>14</v>
      </c>
      <c r="F13" s="16">
        <f t="shared" si="0"/>
        <v>6300</v>
      </c>
    </row>
    <row r="14" spans="1:6" x14ac:dyDescent="0.25">
      <c r="A14" s="17">
        <v>5</v>
      </c>
      <c r="B14" s="15" t="str">
        <f>IF(ISBLANK(A14), "", VLOOKUP(A14, Menu!$A$2:$D$18, 2, FALSE))</f>
        <v>Signature Caffè Latte</v>
      </c>
      <c r="C14" s="15" t="str">
        <f>IF(ISBLANK(A14), "", VLOOKUP(A14, Menu!$A$2:$D$18, 3, FALSE))</f>
        <v>كافيه لاتيه المتميز</v>
      </c>
      <c r="D14" s="16">
        <f>IF(ISBLANK(A14), "", VLOOKUP(A14, Menu!$A$2:$D$18, 4, FALSE))</f>
        <v>450</v>
      </c>
      <c r="E14" s="17">
        <v>15</v>
      </c>
      <c r="F14" s="16">
        <f t="shared" si="0"/>
        <v>6750</v>
      </c>
    </row>
    <row r="15" spans="1:6" x14ac:dyDescent="0.25">
      <c r="A15" s="17">
        <v>5</v>
      </c>
      <c r="B15" s="15" t="str">
        <f>IF(ISBLANK(A15), "", VLOOKUP(A15, Menu!$A$2:$D$18, 2, FALSE))</f>
        <v>Signature Caffè Latte</v>
      </c>
      <c r="C15" s="15" t="str">
        <f>IF(ISBLANK(A15), "", VLOOKUP(A15, Menu!$A$2:$D$18, 3, FALSE))</f>
        <v>كافيه لاتيه المتميز</v>
      </c>
      <c r="D15" s="16">
        <f>IF(ISBLANK(A15), "", VLOOKUP(A15, Menu!$A$2:$D$18, 4, FALSE))</f>
        <v>450</v>
      </c>
      <c r="E15" s="17">
        <v>16</v>
      </c>
      <c r="F15" s="16">
        <f t="shared" si="0"/>
        <v>7200</v>
      </c>
    </row>
    <row r="16" spans="1:6" x14ac:dyDescent="0.25">
      <c r="A16" s="17">
        <v>5</v>
      </c>
      <c r="B16" s="15" t="str">
        <f>IF(ISBLANK(A16), "", VLOOKUP(A16, Menu!$A$2:$D$18, 2, FALSE))</f>
        <v>Signature Caffè Latte</v>
      </c>
      <c r="C16" s="15" t="str">
        <f>IF(ISBLANK(A16), "", VLOOKUP(A16, Menu!$A$2:$D$18, 3, FALSE))</f>
        <v>كافيه لاتيه المتميز</v>
      </c>
      <c r="D16" s="16">
        <f>IF(ISBLANK(A16), "", VLOOKUP(A16, Menu!$A$2:$D$18, 4, FALSE))</f>
        <v>450</v>
      </c>
      <c r="E16" s="17">
        <v>17</v>
      </c>
      <c r="F16" s="16">
        <f t="shared" si="0"/>
        <v>7650</v>
      </c>
    </row>
    <row r="17" spans="1:6" x14ac:dyDescent="0.25">
      <c r="A17" s="17">
        <v>5</v>
      </c>
      <c r="B17" s="15" t="str">
        <f>IF(ISBLANK(A17), "", VLOOKUP(A17, Menu!$A$2:$D$18, 2, FALSE))</f>
        <v>Signature Caffè Latte</v>
      </c>
      <c r="C17" s="15" t="str">
        <f>IF(ISBLANK(A17), "", VLOOKUP(A17, Menu!$A$2:$D$18, 3, FALSE))</f>
        <v>كافيه لاتيه المتميز</v>
      </c>
      <c r="D17" s="16">
        <f>IF(ISBLANK(A17), "", VLOOKUP(A17, Menu!$A$2:$D$18, 4, FALSE))</f>
        <v>450</v>
      </c>
      <c r="E17" s="17">
        <v>18</v>
      </c>
      <c r="F17" s="16">
        <f t="shared" si="0"/>
        <v>8100</v>
      </c>
    </row>
    <row r="18" spans="1:6" x14ac:dyDescent="0.25">
      <c r="A18" s="17">
        <v>5</v>
      </c>
      <c r="B18" s="15" t="str">
        <f>IF(ISBLANK(A18), "", VLOOKUP(A18, Menu!$A$2:$D$18, 2, FALSE))</f>
        <v>Signature Caffè Latte</v>
      </c>
      <c r="C18" s="15" t="str">
        <f>IF(ISBLANK(A18), "", VLOOKUP(A18, Menu!$A$2:$D$18, 3, FALSE))</f>
        <v>كافيه لاتيه المتميز</v>
      </c>
      <c r="D18" s="16">
        <f>IF(ISBLANK(A18), "", VLOOKUP(A18, Menu!$A$2:$D$18, 4, FALSE))</f>
        <v>450</v>
      </c>
      <c r="E18" s="17">
        <v>19</v>
      </c>
      <c r="F18" s="16">
        <f t="shared" si="0"/>
        <v>8550</v>
      </c>
    </row>
    <row r="19" spans="1:6" x14ac:dyDescent="0.25">
      <c r="A19" s="17">
        <v>5</v>
      </c>
      <c r="B19" s="15" t="str">
        <f>IF(ISBLANK(A19), "", VLOOKUP(A19, Menu!$A$2:$D$18, 2, FALSE))</f>
        <v>Signature Caffè Latte</v>
      </c>
      <c r="C19" s="15" t="str">
        <f>IF(ISBLANK(A19), "", VLOOKUP(A19, Menu!$A$2:$D$18, 3, FALSE))</f>
        <v>كافيه لاتيه المتميز</v>
      </c>
      <c r="D19" s="16">
        <f>IF(ISBLANK(A19), "", VLOOKUP(A19, Menu!$A$2:$D$18, 4, FALSE))</f>
        <v>450</v>
      </c>
      <c r="E19" s="17">
        <v>20</v>
      </c>
      <c r="F19" s="16">
        <f t="shared" si="0"/>
        <v>9000</v>
      </c>
    </row>
    <row r="20" spans="1:6" x14ac:dyDescent="0.25">
      <c r="A20" s="17">
        <v>5</v>
      </c>
      <c r="B20" s="15" t="str">
        <f>IF(ISBLANK(A20), "", VLOOKUP(A20, Menu!$A$2:$D$18, 2, FALSE))</f>
        <v>Signature Caffè Latte</v>
      </c>
      <c r="C20" s="15" t="str">
        <f>IF(ISBLANK(A20), "", VLOOKUP(A20, Menu!$A$2:$D$18, 3, FALSE))</f>
        <v>كافيه لاتيه المتميز</v>
      </c>
      <c r="D20" s="16">
        <f>IF(ISBLANK(A20), "", VLOOKUP(A20, Menu!$A$2:$D$18, 4, FALSE))</f>
        <v>450</v>
      </c>
      <c r="E20" s="17">
        <v>21</v>
      </c>
      <c r="F20" s="16">
        <f t="shared" si="0"/>
        <v>9450</v>
      </c>
    </row>
    <row r="21" spans="1:6" x14ac:dyDescent="0.25">
      <c r="A21" s="17">
        <v>5</v>
      </c>
      <c r="B21" s="15" t="str">
        <f>IF(ISBLANK(A21), "", VLOOKUP(A21, Menu!$A$2:$D$18, 2, FALSE))</f>
        <v>Signature Caffè Latte</v>
      </c>
      <c r="C21" s="15" t="str">
        <f>IF(ISBLANK(A21), "", VLOOKUP(A21, Menu!$A$2:$D$18, 3, FALSE))</f>
        <v>كافيه لاتيه المتميز</v>
      </c>
      <c r="D21" s="16">
        <f>IF(ISBLANK(A21), "", VLOOKUP(A21, Menu!$A$2:$D$18, 4, FALSE))</f>
        <v>450</v>
      </c>
      <c r="E21" s="17">
        <v>22</v>
      </c>
      <c r="F21" s="16">
        <f t="shared" si="0"/>
        <v>9900</v>
      </c>
    </row>
    <row r="22" spans="1:6" x14ac:dyDescent="0.25">
      <c r="A22" s="17">
        <v>5</v>
      </c>
      <c r="B22" s="15" t="str">
        <f>IF(ISBLANK(A22), "", VLOOKUP(A22, Menu!$A$2:$D$18, 2, FALSE))</f>
        <v>Signature Caffè Latte</v>
      </c>
      <c r="C22" s="15" t="str">
        <f>IF(ISBLANK(A22), "", VLOOKUP(A22, Menu!$A$2:$D$18, 3, FALSE))</f>
        <v>كافيه لاتيه المتميز</v>
      </c>
      <c r="D22" s="16">
        <f>IF(ISBLANK(A22), "", VLOOKUP(A22, Menu!$A$2:$D$18, 4, FALSE))</f>
        <v>450</v>
      </c>
      <c r="E22" s="17">
        <v>23</v>
      </c>
      <c r="F22" s="16">
        <f t="shared" si="0"/>
        <v>10350</v>
      </c>
    </row>
    <row r="23" spans="1:6" x14ac:dyDescent="0.25">
      <c r="A23" s="17">
        <v>5</v>
      </c>
      <c r="B23" s="15" t="str">
        <f>IF(ISBLANK(A23), "", VLOOKUP(A23, Menu!$A$2:$D$18, 2, FALSE))</f>
        <v>Signature Caffè Latte</v>
      </c>
      <c r="C23" s="15" t="str">
        <f>IF(ISBLANK(A23), "", VLOOKUP(A23, Menu!$A$2:$D$18, 3, FALSE))</f>
        <v>كافيه لاتيه المتميز</v>
      </c>
      <c r="D23" s="16">
        <f>IF(ISBLANK(A23), "", VLOOKUP(A23, Menu!$A$2:$D$18, 4, FALSE))</f>
        <v>450</v>
      </c>
      <c r="E23" s="17">
        <v>24</v>
      </c>
      <c r="F23" s="16">
        <f t="shared" si="0"/>
        <v>10800</v>
      </c>
    </row>
    <row r="24" spans="1:6" x14ac:dyDescent="0.25">
      <c r="A24" s="17">
        <v>5</v>
      </c>
      <c r="B24" s="15" t="str">
        <f>IF(ISBLANK(A24), "", VLOOKUP(A24, Menu!$A$2:$D$18, 2, FALSE))</f>
        <v>Signature Caffè Latte</v>
      </c>
      <c r="C24" s="15" t="str">
        <f>IF(ISBLANK(A24), "", VLOOKUP(A24, Menu!$A$2:$D$18, 3, FALSE))</f>
        <v>كافيه لاتيه المتميز</v>
      </c>
      <c r="D24" s="16">
        <f>IF(ISBLANK(A24), "", VLOOKUP(A24, Menu!$A$2:$D$18, 4, FALSE))</f>
        <v>450</v>
      </c>
      <c r="E24" s="17">
        <v>25</v>
      </c>
      <c r="F24" s="16">
        <f t="shared" si="0"/>
        <v>11250</v>
      </c>
    </row>
    <row r="25" spans="1:6" x14ac:dyDescent="0.25">
      <c r="A25" s="17">
        <v>5</v>
      </c>
      <c r="B25" s="15" t="str">
        <f>IF(ISBLANK(A25), "", VLOOKUP(A25, Menu!$A$2:$D$18, 2, FALSE))</f>
        <v>Signature Caffè Latte</v>
      </c>
      <c r="C25" s="15" t="str">
        <f>IF(ISBLANK(A25), "", VLOOKUP(A25, Menu!$A$2:$D$18, 3, FALSE))</f>
        <v>كافيه لاتيه المتميز</v>
      </c>
      <c r="D25" s="16">
        <f>IF(ISBLANK(A25), "", VLOOKUP(A25, Menu!$A$2:$D$18, 4, FALSE))</f>
        <v>450</v>
      </c>
      <c r="E25" s="17">
        <v>26</v>
      </c>
      <c r="F25" s="16">
        <f t="shared" si="0"/>
        <v>11700</v>
      </c>
    </row>
    <row r="26" spans="1:6" x14ac:dyDescent="0.25">
      <c r="A26" s="17">
        <v>5</v>
      </c>
      <c r="B26" s="15" t="str">
        <f>IF(ISBLANK(A26), "", VLOOKUP(A26, Menu!$A$2:$D$18, 2, FALSE))</f>
        <v>Signature Caffè Latte</v>
      </c>
      <c r="C26" s="15" t="str">
        <f>IF(ISBLANK(A26), "", VLOOKUP(A26, Menu!$A$2:$D$18, 3, FALSE))</f>
        <v>كافيه لاتيه المتميز</v>
      </c>
      <c r="D26" s="16">
        <f>IF(ISBLANK(A26), "", VLOOKUP(A26, Menu!$A$2:$D$18, 4, FALSE))</f>
        <v>450</v>
      </c>
      <c r="E26" s="17">
        <v>27</v>
      </c>
      <c r="F26" s="16">
        <f t="shared" si="0"/>
        <v>12150</v>
      </c>
    </row>
    <row r="27" spans="1:6" x14ac:dyDescent="0.25">
      <c r="A27" s="17">
        <v>5</v>
      </c>
      <c r="B27" s="15" t="str">
        <f>IF(ISBLANK(A27), "", VLOOKUP(A27, Menu!$A$2:$D$18, 2, FALSE))</f>
        <v>Signature Caffè Latte</v>
      </c>
      <c r="C27" s="15" t="str">
        <f>IF(ISBLANK(A27), "", VLOOKUP(A27, Menu!$A$2:$D$18, 3, FALSE))</f>
        <v>كافيه لاتيه المتميز</v>
      </c>
      <c r="D27" s="16">
        <f>IF(ISBLANK(A27), "", VLOOKUP(A27, Menu!$A$2:$D$18, 4, FALSE))</f>
        <v>450</v>
      </c>
      <c r="E27" s="17">
        <v>28</v>
      </c>
      <c r="F27" s="16">
        <f t="shared" si="0"/>
        <v>12600</v>
      </c>
    </row>
    <row r="28" spans="1:6" x14ac:dyDescent="0.25">
      <c r="A28" s="17">
        <v>5</v>
      </c>
      <c r="B28" s="15" t="str">
        <f>IF(ISBLANK(A28), "", VLOOKUP(A28, Menu!$A$2:$D$18, 2, FALSE))</f>
        <v>Signature Caffè Latte</v>
      </c>
      <c r="C28" s="15" t="str">
        <f>IF(ISBLANK(A28), "", VLOOKUP(A28, Menu!$A$2:$D$18, 3, FALSE))</f>
        <v>كافيه لاتيه المتميز</v>
      </c>
      <c r="D28" s="16">
        <f>IF(ISBLANK(A28), "", VLOOKUP(A28, Menu!$A$2:$D$18, 4, FALSE))</f>
        <v>450</v>
      </c>
      <c r="E28" s="17">
        <v>29</v>
      </c>
      <c r="F28" s="16">
        <f t="shared" si="0"/>
        <v>13050</v>
      </c>
    </row>
    <row r="29" spans="1:6" x14ac:dyDescent="0.25">
      <c r="A29" s="17">
        <v>5</v>
      </c>
      <c r="B29" s="15" t="str">
        <f>IF(ISBLANK(A29), "", VLOOKUP(A29, Menu!$A$2:$D$18, 2, FALSE))</f>
        <v>Signature Caffè Latte</v>
      </c>
      <c r="C29" s="15" t="str">
        <f>IF(ISBLANK(A29), "", VLOOKUP(A29, Menu!$A$2:$D$18, 3, FALSE))</f>
        <v>كافيه لاتيه المتميز</v>
      </c>
      <c r="D29" s="16">
        <f>IF(ISBLANK(A29), "", VLOOKUP(A29, Menu!$A$2:$D$18, 4, FALSE))</f>
        <v>450</v>
      </c>
      <c r="E29" s="17">
        <v>30</v>
      </c>
      <c r="F29" s="16">
        <f t="shared" si="0"/>
        <v>13500</v>
      </c>
    </row>
    <row r="30" spans="1:6" x14ac:dyDescent="0.25">
      <c r="A30" s="17">
        <v>5</v>
      </c>
      <c r="B30" s="15" t="str">
        <f>IF(ISBLANK(A30), "", VLOOKUP(A30, Menu!$A$2:$D$18, 2, FALSE))</f>
        <v>Signature Caffè Latte</v>
      </c>
      <c r="C30" s="15" t="str">
        <f>IF(ISBLANK(A30), "", VLOOKUP(A30, Menu!$A$2:$D$18, 3, FALSE))</f>
        <v>كافيه لاتيه المتميز</v>
      </c>
      <c r="D30" s="16">
        <f>IF(ISBLANK(A30), "", VLOOKUP(A30, Menu!$A$2:$D$18, 4, FALSE))</f>
        <v>450</v>
      </c>
      <c r="E30" s="17">
        <v>31</v>
      </c>
      <c r="F30" s="16">
        <f t="shared" si="0"/>
        <v>13950</v>
      </c>
    </row>
    <row r="31" spans="1:6" x14ac:dyDescent="0.25">
      <c r="A31" s="17">
        <v>5</v>
      </c>
      <c r="B31" s="15" t="str">
        <f>IF(ISBLANK(A31), "", VLOOKUP(A31, Menu!$A$2:$D$18, 2, FALSE))</f>
        <v>Signature Caffè Latte</v>
      </c>
      <c r="C31" s="15" t="str">
        <f>IF(ISBLANK(A31), "", VLOOKUP(A31, Menu!$A$2:$D$18, 3, FALSE))</f>
        <v>كافيه لاتيه المتميز</v>
      </c>
      <c r="D31" s="16">
        <f>IF(ISBLANK(A31), "", VLOOKUP(A31, Menu!$A$2:$D$18, 4, FALSE))</f>
        <v>450</v>
      </c>
      <c r="E31" s="17">
        <v>32</v>
      </c>
      <c r="F31" s="16">
        <f t="shared" si="0"/>
        <v>14400</v>
      </c>
    </row>
    <row r="32" spans="1:6" x14ac:dyDescent="0.25">
      <c r="A32" s="17">
        <v>5</v>
      </c>
      <c r="B32" s="15" t="str">
        <f>IF(ISBLANK(A32), "", VLOOKUP(A32, Menu!$A$2:$D$18, 2, FALSE))</f>
        <v>Signature Caffè Latte</v>
      </c>
      <c r="C32" s="15" t="str">
        <f>IF(ISBLANK(A32), "", VLOOKUP(A32, Menu!$A$2:$D$18, 3, FALSE))</f>
        <v>كافيه لاتيه المتميز</v>
      </c>
      <c r="D32" s="16">
        <f>IF(ISBLANK(A32), "", VLOOKUP(A32, Menu!$A$2:$D$18, 4, FALSE))</f>
        <v>450</v>
      </c>
      <c r="E32" s="17">
        <v>33</v>
      </c>
      <c r="F32" s="16">
        <f t="shared" si="0"/>
        <v>14850</v>
      </c>
    </row>
    <row r="33" spans="1:6" x14ac:dyDescent="0.25">
      <c r="A33" s="17">
        <v>5</v>
      </c>
      <c r="B33" s="15" t="str">
        <f>IF(ISBLANK(A33), "", VLOOKUP(A33, Menu!$A$2:$D$18, 2, FALSE))</f>
        <v>Signature Caffè Latte</v>
      </c>
      <c r="C33" s="15" t="str">
        <f>IF(ISBLANK(A33), "", VLOOKUP(A33, Menu!$A$2:$D$18, 3, FALSE))</f>
        <v>كافيه لاتيه المتميز</v>
      </c>
      <c r="D33" s="16">
        <f>IF(ISBLANK(A33), "", VLOOKUP(A33, Menu!$A$2:$D$18, 4, FALSE))</f>
        <v>450</v>
      </c>
      <c r="E33" s="17">
        <v>34</v>
      </c>
      <c r="F33" s="16">
        <f t="shared" si="0"/>
        <v>15300</v>
      </c>
    </row>
    <row r="34" spans="1:6" x14ac:dyDescent="0.25">
      <c r="A34" s="17">
        <v>5</v>
      </c>
      <c r="B34" s="15" t="str">
        <f>IF(ISBLANK(A34), "", VLOOKUP(A34, Menu!$A$2:$D$18, 2, FALSE))</f>
        <v>Signature Caffè Latte</v>
      </c>
      <c r="C34" s="15" t="str">
        <f>IF(ISBLANK(A34), "", VLOOKUP(A34, Menu!$A$2:$D$18, 3, FALSE))</f>
        <v>كافيه لاتيه المتميز</v>
      </c>
      <c r="D34" s="16">
        <f>IF(ISBLANK(A34), "", VLOOKUP(A34, Menu!$A$2:$D$18, 4, FALSE))</f>
        <v>450</v>
      </c>
      <c r="E34" s="17">
        <v>35</v>
      </c>
      <c r="F34" s="16">
        <f t="shared" si="0"/>
        <v>15750</v>
      </c>
    </row>
    <row r="35" spans="1:6" x14ac:dyDescent="0.25">
      <c r="A35" s="17">
        <v>5</v>
      </c>
      <c r="B35" s="15" t="str">
        <f>IF(ISBLANK(A35), "", VLOOKUP(A35, Menu!$A$2:$D$18, 2, FALSE))</f>
        <v>Signature Caffè Latte</v>
      </c>
      <c r="C35" s="15" t="str">
        <f>IF(ISBLANK(A35), "", VLOOKUP(A35, Menu!$A$2:$D$18, 3, FALSE))</f>
        <v>كافيه لاتيه المتميز</v>
      </c>
      <c r="D35" s="16">
        <f>IF(ISBLANK(A35), "", VLOOKUP(A35, Menu!$A$2:$D$18, 4, FALSE))</f>
        <v>450</v>
      </c>
      <c r="E35" s="17">
        <v>36</v>
      </c>
      <c r="F35" s="16">
        <f t="shared" si="0"/>
        <v>16200</v>
      </c>
    </row>
    <row r="36" spans="1:6" x14ac:dyDescent="0.25">
      <c r="A36" s="17">
        <v>5</v>
      </c>
      <c r="B36" s="15" t="str">
        <f>IF(ISBLANK(A36), "", VLOOKUP(A36, Menu!$A$2:$D$18, 2, FALSE))</f>
        <v>Signature Caffè Latte</v>
      </c>
      <c r="C36" s="15" t="str">
        <f>IF(ISBLANK(A36), "", VLOOKUP(A36, Menu!$A$2:$D$18, 3, FALSE))</f>
        <v>كافيه لاتيه المتميز</v>
      </c>
      <c r="D36" s="16">
        <f>IF(ISBLANK(A36), "", VLOOKUP(A36, Menu!$A$2:$D$18, 4, FALSE))</f>
        <v>450</v>
      </c>
      <c r="E36" s="17">
        <v>37</v>
      </c>
      <c r="F36" s="16">
        <f t="shared" si="0"/>
        <v>16650</v>
      </c>
    </row>
    <row r="37" spans="1:6" x14ac:dyDescent="0.25">
      <c r="A37" s="17">
        <v>5</v>
      </c>
      <c r="B37" s="15" t="str">
        <f>IF(ISBLANK(A37), "", VLOOKUP(A37, Menu!$A$2:$D$18, 2, FALSE))</f>
        <v>Signature Caffè Latte</v>
      </c>
      <c r="C37" s="15" t="str">
        <f>IF(ISBLANK(A37), "", VLOOKUP(A37, Menu!$A$2:$D$18, 3, FALSE))</f>
        <v>كافيه لاتيه المتميز</v>
      </c>
      <c r="D37" s="16">
        <f>IF(ISBLANK(A37), "", VLOOKUP(A37, Menu!$A$2:$D$18, 4, FALSE))</f>
        <v>450</v>
      </c>
      <c r="E37" s="17">
        <v>38</v>
      </c>
      <c r="F37" s="16">
        <f t="shared" si="0"/>
        <v>17100</v>
      </c>
    </row>
    <row r="38" spans="1:6" x14ac:dyDescent="0.25">
      <c r="A38" s="17">
        <v>5</v>
      </c>
      <c r="B38" s="15" t="str">
        <f>IF(ISBLANK(A38), "", VLOOKUP(A38, Menu!$A$2:$D$18, 2, FALSE))</f>
        <v>Signature Caffè Latte</v>
      </c>
      <c r="C38" s="15" t="str">
        <f>IF(ISBLANK(A38), "", VLOOKUP(A38, Menu!$A$2:$D$18, 3, FALSE))</f>
        <v>كافيه لاتيه المتميز</v>
      </c>
      <c r="D38" s="16">
        <f>IF(ISBLANK(A38), "", VLOOKUP(A38, Menu!$A$2:$D$18, 4, FALSE))</f>
        <v>450</v>
      </c>
      <c r="E38" s="17">
        <v>39</v>
      </c>
      <c r="F38" s="16">
        <f t="shared" si="0"/>
        <v>17550</v>
      </c>
    </row>
    <row r="39" spans="1:6" x14ac:dyDescent="0.25">
      <c r="A39" s="17">
        <v>5</v>
      </c>
      <c r="B39" s="15" t="str">
        <f>IF(ISBLANK(A39), "", VLOOKUP(A39, Menu!$A$2:$D$18, 2, FALSE))</f>
        <v>Signature Caffè Latte</v>
      </c>
      <c r="C39" s="15" t="str">
        <f>IF(ISBLANK(A39), "", VLOOKUP(A39, Menu!$A$2:$D$18, 3, FALSE))</f>
        <v>كافيه لاتيه المتميز</v>
      </c>
      <c r="D39" s="16">
        <f>IF(ISBLANK(A39), "", VLOOKUP(A39, Menu!$A$2:$D$18, 4, FALSE))</f>
        <v>450</v>
      </c>
      <c r="E39" s="17">
        <v>40</v>
      </c>
      <c r="F39" s="16">
        <f t="shared" si="0"/>
        <v>18000</v>
      </c>
    </row>
    <row r="40" spans="1:6" x14ac:dyDescent="0.25">
      <c r="A40" s="17">
        <v>5</v>
      </c>
      <c r="B40" s="15" t="str">
        <f>IF(ISBLANK(A40), "", VLOOKUP(A40, Menu!$A$2:$D$18, 2, FALSE))</f>
        <v>Signature Caffè Latte</v>
      </c>
      <c r="C40" s="15" t="str">
        <f>IF(ISBLANK(A40), "", VLOOKUP(A40, Menu!$A$2:$D$18, 3, FALSE))</f>
        <v>كافيه لاتيه المتميز</v>
      </c>
      <c r="D40" s="16">
        <f>IF(ISBLANK(A40), "", VLOOKUP(A40, Menu!$A$2:$D$18, 4, FALSE))</f>
        <v>450</v>
      </c>
      <c r="E40" s="17">
        <v>41</v>
      </c>
      <c r="F40" s="16">
        <f t="shared" si="0"/>
        <v>18450</v>
      </c>
    </row>
    <row r="41" spans="1:6" x14ac:dyDescent="0.25">
      <c r="A41" s="17">
        <v>5</v>
      </c>
      <c r="B41" s="15" t="str">
        <f>IF(ISBLANK(A41), "", VLOOKUP(A41, Menu!$A$2:$D$18, 2, FALSE))</f>
        <v>Signature Caffè Latte</v>
      </c>
      <c r="C41" s="15" t="str">
        <f>IF(ISBLANK(A41), "", VLOOKUP(A41, Menu!$A$2:$D$18, 3, FALSE))</f>
        <v>كافيه لاتيه المتميز</v>
      </c>
      <c r="D41" s="16">
        <f>IF(ISBLANK(A41), "", VLOOKUP(A41, Menu!$A$2:$D$18, 4, FALSE))</f>
        <v>450</v>
      </c>
      <c r="E41" s="17">
        <v>42</v>
      </c>
      <c r="F41" s="16">
        <f t="shared" si="0"/>
        <v>18900</v>
      </c>
    </row>
    <row r="42" spans="1:6" x14ac:dyDescent="0.25">
      <c r="A42" s="17">
        <v>5</v>
      </c>
      <c r="B42" s="15" t="str">
        <f>IF(ISBLANK(A42), "", VLOOKUP(A42, Menu!$A$2:$D$18, 2, FALSE))</f>
        <v>Signature Caffè Latte</v>
      </c>
      <c r="C42" s="15" t="str">
        <f>IF(ISBLANK(A42), "", VLOOKUP(A42, Menu!$A$2:$D$18, 3, FALSE))</f>
        <v>كافيه لاتيه المتميز</v>
      </c>
      <c r="D42" s="16">
        <f>IF(ISBLANK(A42), "", VLOOKUP(A42, Menu!$A$2:$D$18, 4, FALSE))</f>
        <v>450</v>
      </c>
      <c r="E42" s="17">
        <v>43</v>
      </c>
      <c r="F42" s="16">
        <f t="shared" si="0"/>
        <v>19350</v>
      </c>
    </row>
    <row r="43" spans="1:6" x14ac:dyDescent="0.25">
      <c r="A43" s="17">
        <v>5</v>
      </c>
      <c r="B43" s="15" t="str">
        <f>IF(ISBLANK(A43), "", VLOOKUP(A43, Menu!$A$2:$D$18, 2, FALSE))</f>
        <v>Signature Caffè Latte</v>
      </c>
      <c r="C43" s="15" t="str">
        <f>IF(ISBLANK(A43), "", VLOOKUP(A43, Menu!$A$2:$D$18, 3, FALSE))</f>
        <v>كافيه لاتيه المتميز</v>
      </c>
      <c r="D43" s="16">
        <f>IF(ISBLANK(A43), "", VLOOKUP(A43, Menu!$A$2:$D$18, 4, FALSE))</f>
        <v>450</v>
      </c>
      <c r="E43" s="17">
        <v>44</v>
      </c>
      <c r="F43" s="16">
        <f t="shared" si="0"/>
        <v>19800</v>
      </c>
    </row>
    <row r="44" spans="1:6" x14ac:dyDescent="0.25">
      <c r="A44" s="17">
        <v>5</v>
      </c>
      <c r="B44" s="15" t="str">
        <f>IF(ISBLANK(A44), "", VLOOKUP(A44, Menu!$A$2:$D$18, 2, FALSE))</f>
        <v>Signature Caffè Latte</v>
      </c>
      <c r="C44" s="15" t="str">
        <f>IF(ISBLANK(A44), "", VLOOKUP(A44, Menu!$A$2:$D$18, 3, FALSE))</f>
        <v>كافيه لاتيه المتميز</v>
      </c>
      <c r="D44" s="16">
        <f>IF(ISBLANK(A44), "", VLOOKUP(A44, Menu!$A$2:$D$18, 4, FALSE))</f>
        <v>450</v>
      </c>
      <c r="E44" s="17">
        <v>45</v>
      </c>
      <c r="F44" s="16">
        <f t="shared" si="0"/>
        <v>20250</v>
      </c>
    </row>
    <row r="45" spans="1:6" x14ac:dyDescent="0.25">
      <c r="A45" s="17">
        <v>5</v>
      </c>
      <c r="B45" s="15" t="str">
        <f>IF(ISBLANK(A45), "", VLOOKUP(A45, Menu!$A$2:$D$18, 2, FALSE))</f>
        <v>Signature Caffè Latte</v>
      </c>
      <c r="C45" s="15" t="str">
        <f>IF(ISBLANK(A45), "", VLOOKUP(A45, Menu!$A$2:$D$18, 3, FALSE))</f>
        <v>كافيه لاتيه المتميز</v>
      </c>
      <c r="D45" s="16">
        <f>IF(ISBLANK(A45), "", VLOOKUP(A45, Menu!$A$2:$D$18, 4, FALSE))</f>
        <v>450</v>
      </c>
      <c r="E45" s="17">
        <v>46</v>
      </c>
      <c r="F45" s="16">
        <f t="shared" si="0"/>
        <v>20700</v>
      </c>
    </row>
    <row r="46" spans="1:6" x14ac:dyDescent="0.25">
      <c r="A46" s="17">
        <v>5</v>
      </c>
      <c r="B46" s="15" t="str">
        <f>IF(ISBLANK(A46), "", VLOOKUP(A46, Menu!$A$2:$D$18, 2, FALSE))</f>
        <v>Signature Caffè Latte</v>
      </c>
      <c r="C46" s="15" t="str">
        <f>IF(ISBLANK(A46), "", VLOOKUP(A46, Menu!$A$2:$D$18, 3, FALSE))</f>
        <v>كافيه لاتيه المتميز</v>
      </c>
      <c r="D46" s="16">
        <f>IF(ISBLANK(A46), "", VLOOKUP(A46, Menu!$A$2:$D$18, 4, FALSE))</f>
        <v>450</v>
      </c>
      <c r="E46" s="17">
        <v>47</v>
      </c>
      <c r="F46" s="16">
        <f t="shared" si="0"/>
        <v>21150</v>
      </c>
    </row>
    <row r="47" spans="1:6" x14ac:dyDescent="0.25">
      <c r="A47" s="17">
        <v>5</v>
      </c>
      <c r="B47" s="15" t="str">
        <f>IF(ISBLANK(A47), "", VLOOKUP(A47, Menu!$A$2:$D$18, 2, FALSE))</f>
        <v>Signature Caffè Latte</v>
      </c>
      <c r="C47" s="15" t="str">
        <f>IF(ISBLANK(A47), "", VLOOKUP(A47, Menu!$A$2:$D$18, 3, FALSE))</f>
        <v>كافيه لاتيه المتميز</v>
      </c>
      <c r="D47" s="16">
        <f>IF(ISBLANK(A47), "", VLOOKUP(A47, Menu!$A$2:$D$18, 4, FALSE))</f>
        <v>450</v>
      </c>
      <c r="E47" s="17">
        <v>48</v>
      </c>
      <c r="F47" s="16">
        <f t="shared" si="0"/>
        <v>21600</v>
      </c>
    </row>
    <row r="48" spans="1:6" x14ac:dyDescent="0.25">
      <c r="A48" s="17">
        <v>5</v>
      </c>
      <c r="B48" s="15" t="str">
        <f>IF(ISBLANK(A48), "", VLOOKUP(A48, Menu!$A$2:$D$18, 2, FALSE))</f>
        <v>Signature Caffè Latte</v>
      </c>
      <c r="C48" s="15" t="str">
        <f>IF(ISBLANK(A48), "", VLOOKUP(A48, Menu!$A$2:$D$18, 3, FALSE))</f>
        <v>كافيه لاتيه المتميز</v>
      </c>
      <c r="D48" s="16">
        <f>IF(ISBLANK(A48), "", VLOOKUP(A48, Menu!$A$2:$D$18, 4, FALSE))</f>
        <v>450</v>
      </c>
      <c r="E48" s="17">
        <v>49</v>
      </c>
      <c r="F48" s="16">
        <f t="shared" si="0"/>
        <v>22050</v>
      </c>
    </row>
    <row r="49" spans="1:6" x14ac:dyDescent="0.25">
      <c r="A49" s="17">
        <v>5</v>
      </c>
      <c r="B49" s="15" t="str">
        <f>IF(ISBLANK(A49), "", VLOOKUP(A49, Menu!$A$2:$D$18, 2, FALSE))</f>
        <v>Signature Caffè Latte</v>
      </c>
      <c r="C49" s="15" t="str">
        <f>IF(ISBLANK(A49), "", VLOOKUP(A49, Menu!$A$2:$D$18, 3, FALSE))</f>
        <v>كافيه لاتيه المتميز</v>
      </c>
      <c r="D49" s="16">
        <f>IF(ISBLANK(A49), "", VLOOKUP(A49, Menu!$A$2:$D$18, 4, FALSE))</f>
        <v>450</v>
      </c>
      <c r="E49" s="17">
        <v>50</v>
      </c>
      <c r="F49" s="16">
        <f t="shared" si="0"/>
        <v>22500</v>
      </c>
    </row>
    <row r="50" spans="1:6" x14ac:dyDescent="0.25">
      <c r="A50" s="17">
        <v>5</v>
      </c>
      <c r="B50" s="15" t="str">
        <f>IF(ISBLANK(A50), "", VLOOKUP(A50, Menu!$A$2:$D$18, 2, FALSE))</f>
        <v>Signature Caffè Latte</v>
      </c>
      <c r="C50" s="15" t="str">
        <f>IF(ISBLANK(A50), "", VLOOKUP(A50, Menu!$A$2:$D$18, 3, FALSE))</f>
        <v>كافيه لاتيه المتميز</v>
      </c>
      <c r="D50" s="16">
        <f>IF(ISBLANK(A50), "", VLOOKUP(A50, Menu!$A$2:$D$18, 4, FALSE))</f>
        <v>450</v>
      </c>
      <c r="E50" s="17">
        <v>51</v>
      </c>
      <c r="F50" s="16">
        <f t="shared" si="0"/>
        <v>22950</v>
      </c>
    </row>
    <row r="51" spans="1:6" x14ac:dyDescent="0.25">
      <c r="A51" s="17">
        <v>5</v>
      </c>
      <c r="B51" s="15" t="str">
        <f>IF(ISBLANK(A51), "", VLOOKUP(A51, Menu!$A$2:$D$18, 2, FALSE))</f>
        <v>Signature Caffè Latte</v>
      </c>
      <c r="C51" s="15" t="str">
        <f>IF(ISBLANK(A51), "", VLOOKUP(A51, Menu!$A$2:$D$18, 3, FALSE))</f>
        <v>كافيه لاتيه المتميز</v>
      </c>
      <c r="D51" s="16">
        <f>IF(ISBLANK(A51), "", VLOOKUP(A51, Menu!$A$2:$D$18, 4, FALSE))</f>
        <v>450</v>
      </c>
      <c r="E51" s="17">
        <v>52</v>
      </c>
      <c r="F51" s="16">
        <f t="shared" si="0"/>
        <v>23400</v>
      </c>
    </row>
    <row r="52" spans="1:6" x14ac:dyDescent="0.25">
      <c r="A52" s="17">
        <v>5</v>
      </c>
      <c r="B52" s="15" t="str">
        <f>IF(ISBLANK(A52), "", VLOOKUP(A52, Menu!$A$2:$D$18, 2, FALSE))</f>
        <v>Signature Caffè Latte</v>
      </c>
      <c r="C52" s="15" t="str">
        <f>IF(ISBLANK(A52), "", VLOOKUP(A52, Menu!$A$2:$D$18, 3, FALSE))</f>
        <v>كافيه لاتيه المتميز</v>
      </c>
      <c r="D52" s="16">
        <f>IF(ISBLANK(A52), "", VLOOKUP(A52, Menu!$A$2:$D$18, 4, FALSE))</f>
        <v>450</v>
      </c>
      <c r="E52" s="17">
        <v>53</v>
      </c>
      <c r="F52" s="16">
        <f t="shared" si="0"/>
        <v>23850</v>
      </c>
    </row>
    <row r="53" spans="1:6" x14ac:dyDescent="0.25">
      <c r="A53" s="17">
        <v>5</v>
      </c>
      <c r="B53" s="15" t="str">
        <f>IF(ISBLANK(A53), "", VLOOKUP(A53, Menu!$A$2:$D$18, 2, FALSE))</f>
        <v>Signature Caffè Latte</v>
      </c>
      <c r="C53" s="15" t="str">
        <f>IF(ISBLANK(A53), "", VLOOKUP(A53, Menu!$A$2:$D$18, 3, FALSE))</f>
        <v>كافيه لاتيه المتميز</v>
      </c>
      <c r="D53" s="16">
        <f>IF(ISBLANK(A53), "", VLOOKUP(A53, Menu!$A$2:$D$18, 4, FALSE))</f>
        <v>450</v>
      </c>
      <c r="E53" s="17">
        <v>54</v>
      </c>
      <c r="F53" s="16">
        <f t="shared" si="0"/>
        <v>24300</v>
      </c>
    </row>
    <row r="54" spans="1:6" x14ac:dyDescent="0.25">
      <c r="A54" s="17">
        <v>5</v>
      </c>
      <c r="B54" s="15" t="str">
        <f>IF(ISBLANK(A54), "", VLOOKUP(A54, Menu!$A$2:$D$18, 2, FALSE))</f>
        <v>Signature Caffè Latte</v>
      </c>
      <c r="C54" s="15" t="str">
        <f>IF(ISBLANK(A54), "", VLOOKUP(A54, Menu!$A$2:$D$18, 3, FALSE))</f>
        <v>كافيه لاتيه المتميز</v>
      </c>
      <c r="D54" s="16">
        <f>IF(ISBLANK(A54), "", VLOOKUP(A54, Menu!$A$2:$D$18, 4, FALSE))</f>
        <v>450</v>
      </c>
      <c r="E54" s="17">
        <v>55</v>
      </c>
      <c r="F54" s="16">
        <f t="shared" si="0"/>
        <v>24750</v>
      </c>
    </row>
    <row r="55" spans="1:6" x14ac:dyDescent="0.25">
      <c r="A55" s="17">
        <v>5</v>
      </c>
      <c r="B55" s="15" t="str">
        <f>IF(ISBLANK(A55), "", VLOOKUP(A55, Menu!$A$2:$D$18, 2, FALSE))</f>
        <v>Signature Caffè Latte</v>
      </c>
      <c r="C55" s="15" t="str">
        <f>IF(ISBLANK(A55), "", VLOOKUP(A55, Menu!$A$2:$D$18, 3, FALSE))</f>
        <v>كافيه لاتيه المتميز</v>
      </c>
      <c r="D55" s="16">
        <f>IF(ISBLANK(A55), "", VLOOKUP(A55, Menu!$A$2:$D$18, 4, FALSE))</f>
        <v>450</v>
      </c>
      <c r="E55" s="17">
        <v>56</v>
      </c>
      <c r="F55" s="16">
        <f t="shared" si="0"/>
        <v>25200</v>
      </c>
    </row>
    <row r="56" spans="1:6" x14ac:dyDescent="0.25">
      <c r="A56" s="17">
        <v>5</v>
      </c>
      <c r="B56" s="15" t="str">
        <f>IF(ISBLANK(A56), "", VLOOKUP(A56, Menu!$A$2:$D$18, 2, FALSE))</f>
        <v>Signature Caffè Latte</v>
      </c>
      <c r="C56" s="15" t="str">
        <f>IF(ISBLANK(A56), "", VLOOKUP(A56, Menu!$A$2:$D$18, 3, FALSE))</f>
        <v>كافيه لاتيه المتميز</v>
      </c>
      <c r="D56" s="16">
        <f>IF(ISBLANK(A56), "", VLOOKUP(A56, Menu!$A$2:$D$18, 4, FALSE))</f>
        <v>450</v>
      </c>
      <c r="E56" s="17">
        <v>57</v>
      </c>
      <c r="F56" s="16">
        <f t="shared" si="0"/>
        <v>25650</v>
      </c>
    </row>
    <row r="57" spans="1:6" x14ac:dyDescent="0.25">
      <c r="A57" s="17">
        <v>5</v>
      </c>
      <c r="B57" s="15" t="str">
        <f>IF(ISBLANK(A57), "", VLOOKUP(A57, Menu!$A$2:$D$18, 2, FALSE))</f>
        <v>Signature Caffè Latte</v>
      </c>
      <c r="C57" s="15" t="str">
        <f>IF(ISBLANK(A57), "", VLOOKUP(A57, Menu!$A$2:$D$18, 3, FALSE))</f>
        <v>كافيه لاتيه المتميز</v>
      </c>
      <c r="D57" s="16">
        <f>IF(ISBLANK(A57), "", VLOOKUP(A57, Menu!$A$2:$D$18, 4, FALSE))</f>
        <v>450</v>
      </c>
      <c r="E57" s="17">
        <v>58</v>
      </c>
      <c r="F57" s="16">
        <f t="shared" si="0"/>
        <v>26100</v>
      </c>
    </row>
    <row r="58" spans="1:6" x14ac:dyDescent="0.25">
      <c r="A58" s="17">
        <v>5</v>
      </c>
      <c r="B58" s="15" t="str">
        <f>IF(ISBLANK(A58), "", VLOOKUP(A58, Menu!$A$2:$D$18, 2, FALSE))</f>
        <v>Signature Caffè Latte</v>
      </c>
      <c r="C58" s="15" t="str">
        <f>IF(ISBLANK(A58), "", VLOOKUP(A58, Menu!$A$2:$D$18, 3, FALSE))</f>
        <v>كافيه لاتيه المتميز</v>
      </c>
      <c r="D58" s="16">
        <f>IF(ISBLANK(A58), "", VLOOKUP(A58, Menu!$A$2:$D$18, 4, FALSE))</f>
        <v>450</v>
      </c>
      <c r="E58" s="17">
        <v>59</v>
      </c>
      <c r="F58" s="16">
        <f t="shared" si="0"/>
        <v>26550</v>
      </c>
    </row>
    <row r="59" spans="1:6" x14ac:dyDescent="0.25">
      <c r="A59" s="17">
        <v>5</v>
      </c>
      <c r="B59" s="15" t="str">
        <f>IF(ISBLANK(A59), "", VLOOKUP(A59, Menu!$A$2:$D$18, 2, FALSE))</f>
        <v>Signature Caffè Latte</v>
      </c>
      <c r="C59" s="15" t="str">
        <f>IF(ISBLANK(A59), "", VLOOKUP(A59, Menu!$A$2:$D$18, 3, FALSE))</f>
        <v>كافيه لاتيه المتميز</v>
      </c>
      <c r="D59" s="16">
        <f>IF(ISBLANK(A59), "", VLOOKUP(A59, Menu!$A$2:$D$18, 4, FALSE))</f>
        <v>450</v>
      </c>
      <c r="E59" s="17">
        <v>60</v>
      </c>
      <c r="F59" s="16">
        <f t="shared" si="0"/>
        <v>27000</v>
      </c>
    </row>
    <row r="60" spans="1:6" x14ac:dyDescent="0.25">
      <c r="A60" s="17">
        <v>5</v>
      </c>
      <c r="B60" s="15" t="str">
        <f>IF(ISBLANK(A60), "", VLOOKUP(A60, Menu!$A$2:$D$18, 2, FALSE))</f>
        <v>Signature Caffè Latte</v>
      </c>
      <c r="C60" s="15" t="str">
        <f>IF(ISBLANK(A60), "", VLOOKUP(A60, Menu!$A$2:$D$18, 3, FALSE))</f>
        <v>كافيه لاتيه المتميز</v>
      </c>
      <c r="D60" s="16">
        <f>IF(ISBLANK(A60), "", VLOOKUP(A60, Menu!$A$2:$D$18, 4, FALSE))</f>
        <v>450</v>
      </c>
      <c r="E60" s="17">
        <v>61</v>
      </c>
      <c r="F60" s="16">
        <f t="shared" si="0"/>
        <v>27450</v>
      </c>
    </row>
    <row r="61" spans="1:6" x14ac:dyDescent="0.25">
      <c r="A61" s="17">
        <v>5</v>
      </c>
      <c r="B61" s="15" t="str">
        <f>IF(ISBLANK(A61), "", VLOOKUP(A61, Menu!$A$2:$D$18, 2, FALSE))</f>
        <v>Signature Caffè Latte</v>
      </c>
      <c r="C61" s="15" t="str">
        <f>IF(ISBLANK(A61), "", VLOOKUP(A61, Menu!$A$2:$D$18, 3, FALSE))</f>
        <v>كافيه لاتيه المتميز</v>
      </c>
      <c r="D61" s="16">
        <f>IF(ISBLANK(A61), "", VLOOKUP(A61, Menu!$A$2:$D$18, 4, FALSE))</f>
        <v>450</v>
      </c>
      <c r="E61" s="17">
        <v>62</v>
      </c>
      <c r="F61" s="16">
        <f t="shared" si="0"/>
        <v>27900</v>
      </c>
    </row>
    <row r="62" spans="1:6" x14ac:dyDescent="0.25">
      <c r="A62" s="17">
        <v>5</v>
      </c>
      <c r="B62" s="15" t="str">
        <f>IF(ISBLANK(A62), "", VLOOKUP(A62, Menu!$A$2:$D$18, 2, FALSE))</f>
        <v>Signature Caffè Latte</v>
      </c>
      <c r="C62" s="15" t="str">
        <f>IF(ISBLANK(A62), "", VLOOKUP(A62, Menu!$A$2:$D$18, 3, FALSE))</f>
        <v>كافيه لاتيه المتميز</v>
      </c>
      <c r="D62" s="16">
        <f>IF(ISBLANK(A62), "", VLOOKUP(A62, Menu!$A$2:$D$18, 4, FALSE))</f>
        <v>450</v>
      </c>
      <c r="E62" s="17">
        <v>63</v>
      </c>
      <c r="F62" s="16">
        <f t="shared" si="0"/>
        <v>28350</v>
      </c>
    </row>
    <row r="63" spans="1:6" x14ac:dyDescent="0.25">
      <c r="A63" s="17">
        <v>5</v>
      </c>
      <c r="B63" s="15" t="str">
        <f>IF(ISBLANK(A63), "", VLOOKUP(A63, Menu!$A$2:$D$18, 2, FALSE))</f>
        <v>Signature Caffè Latte</v>
      </c>
      <c r="C63" s="15" t="str">
        <f>IF(ISBLANK(A63), "", VLOOKUP(A63, Menu!$A$2:$D$18, 3, FALSE))</f>
        <v>كافيه لاتيه المتميز</v>
      </c>
      <c r="D63" s="16">
        <f>IF(ISBLANK(A63), "", VLOOKUP(A63, Menu!$A$2:$D$18, 4, FALSE))</f>
        <v>450</v>
      </c>
      <c r="E63" s="17">
        <v>64</v>
      </c>
      <c r="F63" s="16">
        <f t="shared" si="0"/>
        <v>28800</v>
      </c>
    </row>
    <row r="64" spans="1:6" x14ac:dyDescent="0.25">
      <c r="A64" s="17">
        <v>5</v>
      </c>
      <c r="B64" s="15" t="str">
        <f>IF(ISBLANK(A64), "", VLOOKUP(A64, Menu!$A$2:$D$18, 2, FALSE))</f>
        <v>Signature Caffè Latte</v>
      </c>
      <c r="C64" s="15" t="str">
        <f>IF(ISBLANK(A64), "", VLOOKUP(A64, Menu!$A$2:$D$18, 3, FALSE))</f>
        <v>كافيه لاتيه المتميز</v>
      </c>
      <c r="D64" s="16">
        <f>IF(ISBLANK(A64), "", VLOOKUP(A64, Menu!$A$2:$D$18, 4, FALSE))</f>
        <v>450</v>
      </c>
      <c r="E64" s="17">
        <v>65</v>
      </c>
      <c r="F64" s="16">
        <f t="shared" si="0"/>
        <v>29250</v>
      </c>
    </row>
    <row r="65" spans="1:6" x14ac:dyDescent="0.25">
      <c r="A65" s="17">
        <v>5</v>
      </c>
      <c r="B65" s="15" t="str">
        <f>IF(ISBLANK(A65), "", VLOOKUP(A65, Menu!$A$2:$D$18, 2, FALSE))</f>
        <v>Signature Caffè Latte</v>
      </c>
      <c r="C65" s="15" t="str">
        <f>IF(ISBLANK(A65), "", VLOOKUP(A65, Menu!$A$2:$D$18, 3, FALSE))</f>
        <v>كافيه لاتيه المتميز</v>
      </c>
      <c r="D65" s="16">
        <f>IF(ISBLANK(A65), "", VLOOKUP(A65, Menu!$A$2:$D$18, 4, FALSE))</f>
        <v>450</v>
      </c>
      <c r="E65" s="17">
        <v>66</v>
      </c>
      <c r="F65" s="16">
        <f t="shared" si="0"/>
        <v>29700</v>
      </c>
    </row>
    <row r="66" spans="1:6" x14ac:dyDescent="0.25">
      <c r="A66" s="17">
        <v>5</v>
      </c>
      <c r="B66" s="15" t="str">
        <f>IF(ISBLANK(A66), "", VLOOKUP(A66, Menu!$A$2:$D$18, 2, FALSE))</f>
        <v>Signature Caffè Latte</v>
      </c>
      <c r="C66" s="15" t="str">
        <f>IF(ISBLANK(A66), "", VLOOKUP(A66, Menu!$A$2:$D$18, 3, FALSE))</f>
        <v>كافيه لاتيه المتميز</v>
      </c>
      <c r="D66" s="16">
        <f>IF(ISBLANK(A66), "", VLOOKUP(A66, Menu!$A$2:$D$18, 4, FALSE))</f>
        <v>450</v>
      </c>
      <c r="E66" s="17">
        <v>67</v>
      </c>
      <c r="F66" s="16">
        <f t="shared" ref="F66:F92" si="1">IF(ISBLANK(A66), "", D66*E66)</f>
        <v>30150</v>
      </c>
    </row>
    <row r="67" spans="1:6" x14ac:dyDescent="0.25">
      <c r="A67" s="17">
        <v>5</v>
      </c>
      <c r="B67" s="15" t="str">
        <f>IF(ISBLANK(A67), "", VLOOKUP(A67, Menu!$A$2:$D$18, 2, FALSE))</f>
        <v>Signature Caffè Latte</v>
      </c>
      <c r="C67" s="15" t="str">
        <f>IF(ISBLANK(A67), "", VLOOKUP(A67, Menu!$A$2:$D$18, 3, FALSE))</f>
        <v>كافيه لاتيه المتميز</v>
      </c>
      <c r="D67" s="16">
        <f>IF(ISBLANK(A67), "", VLOOKUP(A67, Menu!$A$2:$D$18, 4, FALSE))</f>
        <v>450</v>
      </c>
      <c r="E67" s="17">
        <v>68</v>
      </c>
      <c r="F67" s="16">
        <f t="shared" si="1"/>
        <v>30600</v>
      </c>
    </row>
    <row r="68" spans="1:6" x14ac:dyDescent="0.25">
      <c r="A68" s="17">
        <v>5</v>
      </c>
      <c r="B68" s="15" t="str">
        <f>IF(ISBLANK(A68), "", VLOOKUP(A68, Menu!$A$2:$D$18, 2, FALSE))</f>
        <v>Signature Caffè Latte</v>
      </c>
      <c r="C68" s="15" t="str">
        <f>IF(ISBLANK(A68), "", VLOOKUP(A68, Menu!$A$2:$D$18, 3, FALSE))</f>
        <v>كافيه لاتيه المتميز</v>
      </c>
      <c r="D68" s="16">
        <f>IF(ISBLANK(A68), "", VLOOKUP(A68, Menu!$A$2:$D$18, 4, FALSE))</f>
        <v>450</v>
      </c>
      <c r="E68" s="17">
        <v>69</v>
      </c>
      <c r="F68" s="16">
        <f t="shared" si="1"/>
        <v>31050</v>
      </c>
    </row>
    <row r="69" spans="1:6" x14ac:dyDescent="0.25">
      <c r="A69" s="17">
        <v>5</v>
      </c>
      <c r="B69" s="15" t="str">
        <f>IF(ISBLANK(A69), "", VLOOKUP(A69, Menu!$A$2:$D$18, 2, FALSE))</f>
        <v>Signature Caffè Latte</v>
      </c>
      <c r="C69" s="15" t="str">
        <f>IF(ISBLANK(A69), "", VLOOKUP(A69, Menu!$A$2:$D$18, 3, FALSE))</f>
        <v>كافيه لاتيه المتميز</v>
      </c>
      <c r="D69" s="16">
        <f>IF(ISBLANK(A69), "", VLOOKUP(A69, Menu!$A$2:$D$18, 4, FALSE))</f>
        <v>450</v>
      </c>
      <c r="E69" s="17">
        <v>70</v>
      </c>
      <c r="F69" s="16">
        <f t="shared" si="1"/>
        <v>31500</v>
      </c>
    </row>
    <row r="70" spans="1:6" x14ac:dyDescent="0.25">
      <c r="A70" s="17">
        <v>5</v>
      </c>
      <c r="B70" s="15" t="str">
        <f>IF(ISBLANK(A70), "", VLOOKUP(A70, Menu!$A$2:$D$18, 2, FALSE))</f>
        <v>Signature Caffè Latte</v>
      </c>
      <c r="C70" s="15" t="str">
        <f>IF(ISBLANK(A70), "", VLOOKUP(A70, Menu!$A$2:$D$18, 3, FALSE))</f>
        <v>كافيه لاتيه المتميز</v>
      </c>
      <c r="D70" s="16">
        <f>IF(ISBLANK(A70), "", VLOOKUP(A70, Menu!$A$2:$D$18, 4, FALSE))</f>
        <v>450</v>
      </c>
      <c r="E70" s="17">
        <v>71</v>
      </c>
      <c r="F70" s="16">
        <f t="shared" si="1"/>
        <v>31950</v>
      </c>
    </row>
    <row r="71" spans="1:6" x14ac:dyDescent="0.25">
      <c r="A71" s="17">
        <v>5</v>
      </c>
      <c r="B71" s="15" t="str">
        <f>IF(ISBLANK(A71), "", VLOOKUP(A71, Menu!$A$2:$D$18, 2, FALSE))</f>
        <v>Signature Caffè Latte</v>
      </c>
      <c r="C71" s="15" t="str">
        <f>IF(ISBLANK(A71), "", VLOOKUP(A71, Menu!$A$2:$D$18, 3, FALSE))</f>
        <v>كافيه لاتيه المتميز</v>
      </c>
      <c r="D71" s="16">
        <f>IF(ISBLANK(A71), "", VLOOKUP(A71, Menu!$A$2:$D$18, 4, FALSE))</f>
        <v>450</v>
      </c>
      <c r="E71" s="17">
        <v>72</v>
      </c>
      <c r="F71" s="16">
        <f t="shared" si="1"/>
        <v>32400</v>
      </c>
    </row>
    <row r="72" spans="1:6" x14ac:dyDescent="0.25">
      <c r="A72" s="17">
        <v>5</v>
      </c>
      <c r="B72" s="15" t="str">
        <f>IF(ISBLANK(A72), "", VLOOKUP(A72, Menu!$A$2:$D$18, 2, FALSE))</f>
        <v>Signature Caffè Latte</v>
      </c>
      <c r="C72" s="15" t="str">
        <f>IF(ISBLANK(A72), "", VLOOKUP(A72, Menu!$A$2:$D$18, 3, FALSE))</f>
        <v>كافيه لاتيه المتميز</v>
      </c>
      <c r="D72" s="16">
        <f>IF(ISBLANK(A72), "", VLOOKUP(A72, Menu!$A$2:$D$18, 4, FALSE))</f>
        <v>450</v>
      </c>
      <c r="E72" s="17">
        <v>73</v>
      </c>
      <c r="F72" s="16">
        <f t="shared" si="1"/>
        <v>32850</v>
      </c>
    </row>
    <row r="73" spans="1:6" x14ac:dyDescent="0.25">
      <c r="A73" s="17">
        <v>5</v>
      </c>
      <c r="B73" s="15" t="str">
        <f>IF(ISBLANK(A73), "", VLOOKUP(A73, Menu!$A$2:$D$18, 2, FALSE))</f>
        <v>Signature Caffè Latte</v>
      </c>
      <c r="C73" s="15" t="str">
        <f>IF(ISBLANK(A73), "", VLOOKUP(A73, Menu!$A$2:$D$18, 3, FALSE))</f>
        <v>كافيه لاتيه المتميز</v>
      </c>
      <c r="D73" s="16">
        <f>IF(ISBLANK(A73), "", VLOOKUP(A73, Menu!$A$2:$D$18, 4, FALSE))</f>
        <v>450</v>
      </c>
      <c r="E73" s="17">
        <v>74</v>
      </c>
      <c r="F73" s="16">
        <f t="shared" si="1"/>
        <v>33300</v>
      </c>
    </row>
    <row r="74" spans="1:6" x14ac:dyDescent="0.25">
      <c r="A74" s="17">
        <v>5</v>
      </c>
      <c r="B74" s="15" t="str">
        <f>IF(ISBLANK(A74), "", VLOOKUP(A74, Menu!$A$2:$D$18, 2, FALSE))</f>
        <v>Signature Caffè Latte</v>
      </c>
      <c r="C74" s="15" t="str">
        <f>IF(ISBLANK(A74), "", VLOOKUP(A74, Menu!$A$2:$D$18, 3, FALSE))</f>
        <v>كافيه لاتيه المتميز</v>
      </c>
      <c r="D74" s="16">
        <f>IF(ISBLANK(A74), "", VLOOKUP(A74, Menu!$A$2:$D$18, 4, FALSE))</f>
        <v>450</v>
      </c>
      <c r="E74" s="17">
        <v>75</v>
      </c>
      <c r="F74" s="16">
        <f t="shared" si="1"/>
        <v>33750</v>
      </c>
    </row>
    <row r="75" spans="1:6" x14ac:dyDescent="0.25">
      <c r="A75" s="17">
        <v>5</v>
      </c>
      <c r="B75" s="15" t="str">
        <f>IF(ISBLANK(A75), "", VLOOKUP(A75, Menu!$A$2:$D$18, 2, FALSE))</f>
        <v>Signature Caffè Latte</v>
      </c>
      <c r="C75" s="15" t="str">
        <f>IF(ISBLANK(A75), "", VLOOKUP(A75, Menu!$A$2:$D$18, 3, FALSE))</f>
        <v>كافيه لاتيه المتميز</v>
      </c>
      <c r="D75" s="16">
        <f>IF(ISBLANK(A75), "", VLOOKUP(A75, Menu!$A$2:$D$18, 4, FALSE))</f>
        <v>450</v>
      </c>
      <c r="E75" s="17">
        <v>76</v>
      </c>
      <c r="F75" s="16">
        <f t="shared" si="1"/>
        <v>34200</v>
      </c>
    </row>
    <row r="76" spans="1:6" x14ac:dyDescent="0.25">
      <c r="A76" s="17">
        <v>5</v>
      </c>
      <c r="B76" s="15" t="str">
        <f>IF(ISBLANK(A76), "", VLOOKUP(A76, Menu!$A$2:$D$18, 2, FALSE))</f>
        <v>Signature Caffè Latte</v>
      </c>
      <c r="C76" s="15" t="str">
        <f>IF(ISBLANK(A76), "", VLOOKUP(A76, Menu!$A$2:$D$18, 3, FALSE))</f>
        <v>كافيه لاتيه المتميز</v>
      </c>
      <c r="D76" s="16">
        <f>IF(ISBLANK(A76), "", VLOOKUP(A76, Menu!$A$2:$D$18, 4, FALSE))</f>
        <v>450</v>
      </c>
      <c r="E76" s="17">
        <v>77</v>
      </c>
      <c r="F76" s="16">
        <f t="shared" si="1"/>
        <v>34650</v>
      </c>
    </row>
    <row r="77" spans="1:6" x14ac:dyDescent="0.25">
      <c r="A77" s="17">
        <v>5</v>
      </c>
      <c r="B77" s="15" t="str">
        <f>IF(ISBLANK(A77), "", VLOOKUP(A77, Menu!$A$2:$D$18, 2, FALSE))</f>
        <v>Signature Caffè Latte</v>
      </c>
      <c r="C77" s="15" t="str">
        <f>IF(ISBLANK(A77), "", VLOOKUP(A77, Menu!$A$2:$D$18, 3, FALSE))</f>
        <v>كافيه لاتيه المتميز</v>
      </c>
      <c r="D77" s="16">
        <f>IF(ISBLANK(A77), "", VLOOKUP(A77, Menu!$A$2:$D$18, 4, FALSE))</f>
        <v>450</v>
      </c>
      <c r="E77" s="17">
        <v>78</v>
      </c>
      <c r="F77" s="16">
        <f t="shared" si="1"/>
        <v>35100</v>
      </c>
    </row>
    <row r="78" spans="1:6" x14ac:dyDescent="0.25">
      <c r="A78" s="17">
        <v>5</v>
      </c>
      <c r="B78" s="15" t="str">
        <f>IF(ISBLANK(A78), "", VLOOKUP(A78, Menu!$A$2:$D$18, 2, FALSE))</f>
        <v>Signature Caffè Latte</v>
      </c>
      <c r="C78" s="15" t="str">
        <f>IF(ISBLANK(A78), "", VLOOKUP(A78, Menu!$A$2:$D$18, 3, FALSE))</f>
        <v>كافيه لاتيه المتميز</v>
      </c>
      <c r="D78" s="16">
        <f>IF(ISBLANK(A78), "", VLOOKUP(A78, Menu!$A$2:$D$18, 4, FALSE))</f>
        <v>450</v>
      </c>
      <c r="E78" s="17">
        <v>79</v>
      </c>
      <c r="F78" s="16">
        <f t="shared" si="1"/>
        <v>35550</v>
      </c>
    </row>
    <row r="79" spans="1:6" x14ac:dyDescent="0.25">
      <c r="A79" s="17">
        <v>5</v>
      </c>
      <c r="B79" s="15" t="str">
        <f>IF(ISBLANK(A79), "", VLOOKUP(A79, Menu!$A$2:$D$18, 2, FALSE))</f>
        <v>Signature Caffè Latte</v>
      </c>
      <c r="C79" s="15" t="str">
        <f>IF(ISBLANK(A79), "", VLOOKUP(A79, Menu!$A$2:$D$18, 3, FALSE))</f>
        <v>كافيه لاتيه المتميز</v>
      </c>
      <c r="D79" s="16">
        <f>IF(ISBLANK(A79), "", VLOOKUP(A79, Menu!$A$2:$D$18, 4, FALSE))</f>
        <v>450</v>
      </c>
      <c r="E79" s="17">
        <v>80</v>
      </c>
      <c r="F79" s="16">
        <f t="shared" si="1"/>
        <v>36000</v>
      </c>
    </row>
    <row r="80" spans="1:6" x14ac:dyDescent="0.25">
      <c r="A80" s="17">
        <v>5</v>
      </c>
      <c r="B80" s="15" t="str">
        <f>IF(ISBLANK(A80), "", VLOOKUP(A80, Menu!$A$2:$D$18, 2, FALSE))</f>
        <v>Signature Caffè Latte</v>
      </c>
      <c r="C80" s="15" t="str">
        <f>IF(ISBLANK(A80), "", VLOOKUP(A80, Menu!$A$2:$D$18, 3, FALSE))</f>
        <v>كافيه لاتيه المتميز</v>
      </c>
      <c r="D80" s="16">
        <f>IF(ISBLANK(A80), "", VLOOKUP(A80, Menu!$A$2:$D$18, 4, FALSE))</f>
        <v>450</v>
      </c>
      <c r="E80" s="17">
        <v>81</v>
      </c>
      <c r="F80" s="16">
        <f t="shared" si="1"/>
        <v>36450</v>
      </c>
    </row>
    <row r="81" spans="1:6" x14ac:dyDescent="0.25">
      <c r="A81" s="17">
        <v>5</v>
      </c>
      <c r="B81" s="15" t="str">
        <f>IF(ISBLANK(A81), "", VLOOKUP(A81, Menu!$A$2:$D$18, 2, FALSE))</f>
        <v>Signature Caffè Latte</v>
      </c>
      <c r="C81" s="15" t="str">
        <f>IF(ISBLANK(A81), "", VLOOKUP(A81, Menu!$A$2:$D$18, 3, FALSE))</f>
        <v>كافيه لاتيه المتميز</v>
      </c>
      <c r="D81" s="16">
        <f>IF(ISBLANK(A81), "", VLOOKUP(A81, Menu!$A$2:$D$18, 4, FALSE))</f>
        <v>450</v>
      </c>
      <c r="E81" s="17">
        <v>82</v>
      </c>
      <c r="F81" s="16">
        <f t="shared" si="1"/>
        <v>36900</v>
      </c>
    </row>
    <row r="82" spans="1:6" x14ac:dyDescent="0.25">
      <c r="A82" s="17">
        <v>5</v>
      </c>
      <c r="B82" s="15" t="str">
        <f>IF(ISBLANK(A82), "", VLOOKUP(A82, Menu!$A$2:$D$18, 2, FALSE))</f>
        <v>Signature Caffè Latte</v>
      </c>
      <c r="C82" s="15" t="str">
        <f>IF(ISBLANK(A82), "", VLOOKUP(A82, Menu!$A$2:$D$18, 3, FALSE))</f>
        <v>كافيه لاتيه المتميز</v>
      </c>
      <c r="D82" s="16">
        <f>IF(ISBLANK(A82), "", VLOOKUP(A82, Menu!$A$2:$D$18, 4, FALSE))</f>
        <v>450</v>
      </c>
      <c r="E82" s="17">
        <v>83</v>
      </c>
      <c r="F82" s="16">
        <f t="shared" si="1"/>
        <v>37350</v>
      </c>
    </row>
    <row r="83" spans="1:6" x14ac:dyDescent="0.25">
      <c r="A83" s="17">
        <v>5</v>
      </c>
      <c r="B83" s="15" t="str">
        <f>IF(ISBLANK(A83), "", VLOOKUP(A83, Menu!$A$2:$D$18, 2, FALSE))</f>
        <v>Signature Caffè Latte</v>
      </c>
      <c r="C83" s="15" t="str">
        <f>IF(ISBLANK(A83), "", VLOOKUP(A83, Menu!$A$2:$D$18, 3, FALSE))</f>
        <v>كافيه لاتيه المتميز</v>
      </c>
      <c r="D83" s="16">
        <f>IF(ISBLANK(A83), "", VLOOKUP(A83, Menu!$A$2:$D$18, 4, FALSE))</f>
        <v>450</v>
      </c>
      <c r="E83" s="17">
        <v>84</v>
      </c>
      <c r="F83" s="16">
        <f t="shared" si="1"/>
        <v>37800</v>
      </c>
    </row>
    <row r="84" spans="1:6" x14ac:dyDescent="0.25">
      <c r="A84" s="17">
        <v>5</v>
      </c>
      <c r="B84" s="15" t="str">
        <f>IF(ISBLANK(A84), "", VLOOKUP(A84, Menu!$A$2:$D$18, 2, FALSE))</f>
        <v>Signature Caffè Latte</v>
      </c>
      <c r="C84" s="15" t="str">
        <f>IF(ISBLANK(A84), "", VLOOKUP(A84, Menu!$A$2:$D$18, 3, FALSE))</f>
        <v>كافيه لاتيه المتميز</v>
      </c>
      <c r="D84" s="16">
        <f>IF(ISBLANK(A84), "", VLOOKUP(A84, Menu!$A$2:$D$18, 4, FALSE))</f>
        <v>450</v>
      </c>
      <c r="E84" s="17">
        <v>85</v>
      </c>
      <c r="F84" s="16">
        <f t="shared" si="1"/>
        <v>38250</v>
      </c>
    </row>
    <row r="85" spans="1:6" x14ac:dyDescent="0.25">
      <c r="A85" s="17">
        <v>5</v>
      </c>
      <c r="B85" s="15" t="str">
        <f>IF(ISBLANK(A85), "", VLOOKUP(A85, Menu!$A$2:$D$18, 2, FALSE))</f>
        <v>Signature Caffè Latte</v>
      </c>
      <c r="C85" s="15" t="str">
        <f>IF(ISBLANK(A85), "", VLOOKUP(A85, Menu!$A$2:$D$18, 3, FALSE))</f>
        <v>كافيه لاتيه المتميز</v>
      </c>
      <c r="D85" s="16">
        <f>IF(ISBLANK(A85), "", VLOOKUP(A85, Menu!$A$2:$D$18, 4, FALSE))</f>
        <v>450</v>
      </c>
      <c r="E85" s="17">
        <v>86</v>
      </c>
      <c r="F85" s="16">
        <f t="shared" si="1"/>
        <v>38700</v>
      </c>
    </row>
    <row r="86" spans="1:6" x14ac:dyDescent="0.25">
      <c r="A86" s="17">
        <v>5</v>
      </c>
      <c r="B86" s="15" t="str">
        <f>IF(ISBLANK(A86), "", VLOOKUP(A86, Menu!$A$2:$D$18, 2, FALSE))</f>
        <v>Signature Caffè Latte</v>
      </c>
      <c r="C86" s="15" t="str">
        <f>IF(ISBLANK(A86), "", VLOOKUP(A86, Menu!$A$2:$D$18, 3, FALSE))</f>
        <v>كافيه لاتيه المتميز</v>
      </c>
      <c r="D86" s="16">
        <f>IF(ISBLANK(A86), "", VLOOKUP(A86, Menu!$A$2:$D$18, 4, FALSE))</f>
        <v>450</v>
      </c>
      <c r="E86" s="17">
        <v>87</v>
      </c>
      <c r="F86" s="16">
        <f t="shared" si="1"/>
        <v>39150</v>
      </c>
    </row>
    <row r="87" spans="1:6" x14ac:dyDescent="0.25">
      <c r="A87" s="17">
        <v>5</v>
      </c>
      <c r="B87" s="15" t="str">
        <f>IF(ISBLANK(A87), "", VLOOKUP(A87, Menu!$A$2:$D$18, 2, FALSE))</f>
        <v>Signature Caffè Latte</v>
      </c>
      <c r="C87" s="15" t="str">
        <f>IF(ISBLANK(A87), "", VLOOKUP(A87, Menu!$A$2:$D$18, 3, FALSE))</f>
        <v>كافيه لاتيه المتميز</v>
      </c>
      <c r="D87" s="16">
        <f>IF(ISBLANK(A87), "", VLOOKUP(A87, Menu!$A$2:$D$18, 4, FALSE))</f>
        <v>450</v>
      </c>
      <c r="E87" s="17">
        <v>88</v>
      </c>
      <c r="F87" s="16">
        <f t="shared" si="1"/>
        <v>39600</v>
      </c>
    </row>
    <row r="88" spans="1:6" x14ac:dyDescent="0.25">
      <c r="A88" s="17">
        <v>5</v>
      </c>
      <c r="B88" s="15" t="str">
        <f>IF(ISBLANK(A88), "", VLOOKUP(A88, Menu!$A$2:$D$18, 2, FALSE))</f>
        <v>Signature Caffè Latte</v>
      </c>
      <c r="C88" s="15" t="str">
        <f>IF(ISBLANK(A88), "", VLOOKUP(A88, Menu!$A$2:$D$18, 3, FALSE))</f>
        <v>كافيه لاتيه المتميز</v>
      </c>
      <c r="D88" s="16">
        <f>IF(ISBLANK(A88), "", VLOOKUP(A88, Menu!$A$2:$D$18, 4, FALSE))</f>
        <v>450</v>
      </c>
      <c r="E88" s="17">
        <v>89</v>
      </c>
      <c r="F88" s="16">
        <f t="shared" si="1"/>
        <v>40050</v>
      </c>
    </row>
    <row r="89" spans="1:6" x14ac:dyDescent="0.25">
      <c r="A89" s="17">
        <v>5</v>
      </c>
      <c r="B89" s="15" t="str">
        <f>IF(ISBLANK(A89), "", VLOOKUP(A89, Menu!$A$2:$D$18, 2, FALSE))</f>
        <v>Signature Caffè Latte</v>
      </c>
      <c r="C89" s="15" t="str">
        <f>IF(ISBLANK(A89), "", VLOOKUP(A89, Menu!$A$2:$D$18, 3, FALSE))</f>
        <v>كافيه لاتيه المتميز</v>
      </c>
      <c r="D89" s="16">
        <f>IF(ISBLANK(A89), "", VLOOKUP(A89, Menu!$A$2:$D$18, 4, FALSE))</f>
        <v>450</v>
      </c>
      <c r="E89" s="17">
        <v>90</v>
      </c>
      <c r="F89" s="16">
        <f t="shared" si="1"/>
        <v>40500</v>
      </c>
    </row>
    <row r="90" spans="1:6" x14ac:dyDescent="0.25">
      <c r="A90" s="17">
        <v>5</v>
      </c>
      <c r="B90" s="15" t="str">
        <f>IF(ISBLANK(A90), "", VLOOKUP(A90, Menu!$A$2:$D$18, 2, FALSE))</f>
        <v>Signature Caffè Latte</v>
      </c>
      <c r="C90" s="15" t="str">
        <f>IF(ISBLANK(A90), "", VLOOKUP(A90, Menu!$A$2:$D$18, 3, FALSE))</f>
        <v>كافيه لاتيه المتميز</v>
      </c>
      <c r="D90" s="16">
        <f>IF(ISBLANK(A90), "", VLOOKUP(A90, Menu!$A$2:$D$18, 4, FALSE))</f>
        <v>450</v>
      </c>
      <c r="E90" s="17">
        <v>91</v>
      </c>
      <c r="F90" s="16">
        <f t="shared" si="1"/>
        <v>40950</v>
      </c>
    </row>
    <row r="91" spans="1:6" x14ac:dyDescent="0.25">
      <c r="A91" s="17">
        <v>5</v>
      </c>
      <c r="B91" s="15" t="str">
        <f>IF(ISBLANK(A91), "", VLOOKUP(A91, Menu!$A$2:$D$18, 2, FALSE))</f>
        <v>Signature Caffè Latte</v>
      </c>
      <c r="C91" s="15" t="str">
        <f>IF(ISBLANK(A91), "", VLOOKUP(A91, Menu!$A$2:$D$18, 3, FALSE))</f>
        <v>كافيه لاتيه المتميز</v>
      </c>
      <c r="D91" s="16">
        <f>IF(ISBLANK(A91), "", VLOOKUP(A91, Menu!$A$2:$D$18, 4, FALSE))</f>
        <v>450</v>
      </c>
      <c r="E91" s="17">
        <v>92</v>
      </c>
      <c r="F91" s="16">
        <f t="shared" si="1"/>
        <v>41400</v>
      </c>
    </row>
    <row r="92" spans="1:6" x14ac:dyDescent="0.25">
      <c r="A92" s="17">
        <v>5</v>
      </c>
      <c r="B92" s="15" t="str">
        <f>IF(ISBLANK(A92), "", VLOOKUP(A92, Menu!$A$2:$D$18, 2, FALSE))</f>
        <v>Signature Caffè Latte</v>
      </c>
      <c r="C92" s="15" t="str">
        <f>IF(ISBLANK(A92), "", VLOOKUP(A92, Menu!$A$2:$D$18, 3, FALSE))</f>
        <v>كافيه لاتيه المتميز</v>
      </c>
      <c r="D92" s="16">
        <f>IF(ISBLANK(A92), "", VLOOKUP(A92, Menu!$A$2:$D$18, 4, FALSE))</f>
        <v>450</v>
      </c>
      <c r="E92" s="17">
        <v>93</v>
      </c>
      <c r="F92" s="16">
        <f t="shared" si="1"/>
        <v>41850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1"/>
  <sheetViews>
    <sheetView workbookViewId="0">
      <selection activeCell="C10" sqref="C10"/>
    </sheetView>
  </sheetViews>
  <sheetFormatPr defaultRowHeight="15" x14ac:dyDescent="0.25"/>
  <cols>
    <col min="1" max="1" width="14" customWidth="1"/>
    <col min="2" max="2" width="23" customWidth="1"/>
    <col min="3" max="3" width="16" customWidth="1"/>
    <col min="4" max="4" width="14" customWidth="1"/>
    <col min="5" max="5" width="17.7109375" customWidth="1"/>
    <col min="6" max="6" width="18" customWidth="1"/>
    <col min="7" max="7" width="14" customWidth="1"/>
    <col min="8" max="8" width="23" customWidth="1"/>
    <col min="9" max="9" width="22" customWidth="1"/>
    <col min="10" max="12" width="14" customWidth="1"/>
  </cols>
  <sheetData>
    <row r="1" spans="1:12" x14ac:dyDescent="0.25">
      <c r="A1" s="10" t="s">
        <v>66</v>
      </c>
      <c r="B1" s="10" t="s">
        <v>67</v>
      </c>
      <c r="C1" s="10" t="s">
        <v>68</v>
      </c>
      <c r="D1" s="10" t="s">
        <v>69</v>
      </c>
      <c r="E1" s="10" t="s">
        <v>70</v>
      </c>
      <c r="F1" s="10" t="s">
        <v>71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12</v>
      </c>
      <c r="L1" s="10" t="s">
        <v>72</v>
      </c>
    </row>
    <row r="2" spans="1:12" x14ac:dyDescent="0.25">
      <c r="B2" s="12"/>
      <c r="E2" s="12"/>
      <c r="F2" s="19"/>
    </row>
    <row r="3" spans="1:12" x14ac:dyDescent="0.25">
      <c r="B3" s="12"/>
      <c r="E3" s="12"/>
      <c r="F3" s="19"/>
    </row>
    <row r="4" spans="1:12" x14ac:dyDescent="0.25">
      <c r="B4" s="12"/>
      <c r="E4" s="12"/>
      <c r="F4" s="19"/>
    </row>
    <row r="5" spans="1:12" x14ac:dyDescent="0.25">
      <c r="B5" s="12"/>
      <c r="E5" s="12"/>
      <c r="F5" s="19"/>
    </row>
    <row r="6" spans="1:12" x14ac:dyDescent="0.25">
      <c r="B6" s="12"/>
      <c r="E6" s="12"/>
      <c r="F6" s="19"/>
    </row>
    <row r="7" spans="1:12" x14ac:dyDescent="0.25">
      <c r="B7" s="12"/>
      <c r="E7" s="12"/>
      <c r="F7" s="19"/>
    </row>
    <row r="8" spans="1:12" x14ac:dyDescent="0.25">
      <c r="B8" s="12"/>
      <c r="E8" s="12"/>
      <c r="F8" s="19"/>
    </row>
    <row r="9" spans="1:12" x14ac:dyDescent="0.25">
      <c r="B9" s="12"/>
      <c r="E9" s="12"/>
      <c r="F9" s="19"/>
    </row>
    <row r="10" spans="1:12" x14ac:dyDescent="0.25">
      <c r="B10" s="12"/>
      <c r="F10" s="19"/>
    </row>
    <row r="11" spans="1:12" x14ac:dyDescent="0.25">
      <c r="B11" s="12"/>
      <c r="F11" s="19"/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48"/>
  <sheetViews>
    <sheetView workbookViewId="0">
      <selection activeCell="A48" sqref="A48"/>
    </sheetView>
  </sheetViews>
  <sheetFormatPr defaultRowHeight="15" x14ac:dyDescent="0.25"/>
  <cols>
    <col min="1" max="1" width="124" customWidth="1"/>
  </cols>
  <sheetData>
    <row r="1" spans="1:1" ht="20.25" x14ac:dyDescent="0.3">
      <c r="A1" s="1" t="s">
        <v>73</v>
      </c>
    </row>
    <row r="3" spans="1:1" x14ac:dyDescent="0.25">
      <c r="A3" s="4" t="s">
        <v>74</v>
      </c>
    </row>
    <row r="4" spans="1:1" x14ac:dyDescent="0.25">
      <c r="A4" s="4" t="s">
        <v>75</v>
      </c>
    </row>
    <row r="5" spans="1:1" x14ac:dyDescent="0.25">
      <c r="A5" s="4" t="s">
        <v>76</v>
      </c>
    </row>
    <row r="6" spans="1:1" x14ac:dyDescent="0.25">
      <c r="A6" s="4" t="s">
        <v>77</v>
      </c>
    </row>
    <row r="7" spans="1:1" x14ac:dyDescent="0.25">
      <c r="A7" s="4" t="s">
        <v>78</v>
      </c>
    </row>
    <row r="8" spans="1:1" x14ac:dyDescent="0.25">
      <c r="A8" s="4" t="s">
        <v>79</v>
      </c>
    </row>
    <row r="11" spans="1:1" x14ac:dyDescent="0.25">
      <c r="A11" s="11" t="s">
        <v>80</v>
      </c>
    </row>
    <row r="12" spans="1:1" x14ac:dyDescent="0.25">
      <c r="A12" s="11" t="s">
        <v>81</v>
      </c>
    </row>
    <row r="13" spans="1:1" x14ac:dyDescent="0.25">
      <c r="A13" s="11" t="s">
        <v>82</v>
      </c>
    </row>
    <row r="14" spans="1:1" x14ac:dyDescent="0.25">
      <c r="A14" s="11" t="s">
        <v>83</v>
      </c>
    </row>
    <row r="15" spans="1:1" x14ac:dyDescent="0.25">
      <c r="A15" s="11" t="s">
        <v>84</v>
      </c>
    </row>
    <row r="16" spans="1:1" x14ac:dyDescent="0.25">
      <c r="A16" s="11" t="s">
        <v>85</v>
      </c>
    </row>
    <row r="17" spans="1:1" x14ac:dyDescent="0.25">
      <c r="A17" s="11" t="s">
        <v>86</v>
      </c>
    </row>
    <row r="18" spans="1:1" x14ac:dyDescent="0.25">
      <c r="A18" s="11" t="s">
        <v>84</v>
      </c>
    </row>
    <row r="19" spans="1:1" x14ac:dyDescent="0.25">
      <c r="A19" s="11" t="s">
        <v>87</v>
      </c>
    </row>
    <row r="20" spans="1:1" x14ac:dyDescent="0.25">
      <c r="A20" s="11" t="s">
        <v>88</v>
      </c>
    </row>
    <row r="21" spans="1:1" x14ac:dyDescent="0.25">
      <c r="A21" s="11" t="s">
        <v>89</v>
      </c>
    </row>
    <row r="22" spans="1:1" x14ac:dyDescent="0.25">
      <c r="A22" s="11" t="s">
        <v>84</v>
      </c>
    </row>
    <row r="23" spans="1:1" x14ac:dyDescent="0.25">
      <c r="A23" s="11" t="s">
        <v>90</v>
      </c>
    </row>
    <row r="24" spans="1:1" x14ac:dyDescent="0.25">
      <c r="A24" s="11" t="s">
        <v>91</v>
      </c>
    </row>
    <row r="25" spans="1:1" x14ac:dyDescent="0.25">
      <c r="A25" s="11" t="s">
        <v>92</v>
      </c>
    </row>
    <row r="26" spans="1:1" x14ac:dyDescent="0.25">
      <c r="A26" s="11" t="s">
        <v>93</v>
      </c>
    </row>
    <row r="27" spans="1:1" x14ac:dyDescent="0.25">
      <c r="A27" s="11" t="s">
        <v>94</v>
      </c>
    </row>
    <row r="28" spans="1:1" x14ac:dyDescent="0.25">
      <c r="A28" s="11" t="s">
        <v>95</v>
      </c>
    </row>
    <row r="29" spans="1:1" x14ac:dyDescent="0.25">
      <c r="A29" s="11" t="s">
        <v>96</v>
      </c>
    </row>
    <row r="30" spans="1:1" x14ac:dyDescent="0.25">
      <c r="A30" s="11" t="s">
        <v>97</v>
      </c>
    </row>
    <row r="31" spans="1:1" x14ac:dyDescent="0.25">
      <c r="A31" s="11" t="s">
        <v>98</v>
      </c>
    </row>
    <row r="32" spans="1:1" x14ac:dyDescent="0.25">
      <c r="A32" s="11" t="s">
        <v>99</v>
      </c>
    </row>
    <row r="33" spans="1:1" x14ac:dyDescent="0.25">
      <c r="A33" s="11" t="s">
        <v>100</v>
      </c>
    </row>
    <row r="34" spans="1:1" x14ac:dyDescent="0.25">
      <c r="A34" s="11" t="s">
        <v>101</v>
      </c>
    </row>
    <row r="35" spans="1:1" x14ac:dyDescent="0.25">
      <c r="A35" s="11" t="s">
        <v>102</v>
      </c>
    </row>
    <row r="36" spans="1:1" x14ac:dyDescent="0.25">
      <c r="A36" s="11" t="s">
        <v>103</v>
      </c>
    </row>
    <row r="37" spans="1:1" x14ac:dyDescent="0.25">
      <c r="A37" s="11" t="s">
        <v>104</v>
      </c>
    </row>
    <row r="38" spans="1:1" x14ac:dyDescent="0.25">
      <c r="A38" s="11" t="s">
        <v>105</v>
      </c>
    </row>
    <row r="39" spans="1:1" x14ac:dyDescent="0.25">
      <c r="A39" s="11" t="s">
        <v>106</v>
      </c>
    </row>
    <row r="40" spans="1:1" x14ac:dyDescent="0.25">
      <c r="A40" s="11" t="s">
        <v>107</v>
      </c>
    </row>
    <row r="41" spans="1:1" x14ac:dyDescent="0.25">
      <c r="A41" s="11" t="s">
        <v>108</v>
      </c>
    </row>
    <row r="42" spans="1:1" x14ac:dyDescent="0.25">
      <c r="A42" s="11"/>
    </row>
    <row r="43" spans="1:1" x14ac:dyDescent="0.25">
      <c r="A43" s="11" t="s">
        <v>109</v>
      </c>
    </row>
    <row r="44" spans="1:1" x14ac:dyDescent="0.25">
      <c r="A44" s="11" t="s">
        <v>110</v>
      </c>
    </row>
    <row r="45" spans="1:1" x14ac:dyDescent="0.25">
      <c r="A45" s="11" t="s">
        <v>111</v>
      </c>
    </row>
    <row r="46" spans="1:1" x14ac:dyDescent="0.25">
      <c r="A46" s="11" t="s">
        <v>112</v>
      </c>
    </row>
    <row r="47" spans="1:1" x14ac:dyDescent="0.25">
      <c r="A47" s="11" t="s">
        <v>113</v>
      </c>
    </row>
    <row r="48" spans="1:1" x14ac:dyDescent="0.25">
      <c r="A48" s="11" t="s">
        <v>114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Invo 1</vt:lpstr>
      <vt:lpstr>Invo 2</vt:lpstr>
      <vt:lpstr>Invo 3</vt:lpstr>
      <vt:lpstr>Invo 4</vt:lpstr>
      <vt:lpstr>Invo 5</vt:lpstr>
      <vt:lpstr>Invo 6</vt:lpstr>
      <vt:lpstr>Menu</vt:lpstr>
      <vt:lpstr>Sheet1</vt:lpstr>
      <vt:lpstr>records</vt:lpstr>
      <vt:lpstr>VBA_Instructions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Almoussa, Hussam</cp:lastModifiedBy>
  <dcterms:created xsi:type="dcterms:W3CDTF">2026-09-09T15:25:55Z</dcterms:created>
  <dcterms:modified xsi:type="dcterms:W3CDTF">2026-10-21T11:34:47Z</dcterms:modified>
</cp:coreProperties>
</file>